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6980" activeTab="2"/>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<sst xmlns="http://schemas.openxmlformats.org/spreadsheetml/2006/main" count="531" uniqueCount="161">
  <si>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</si>
  <si>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</si>
  <si>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</si>
  <si>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</si>
  <si>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</si>
  <si>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</si>
  <si>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</si>
  <si>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</si>
  <si>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</si>
  <si>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</si>
  <si>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</si>
  <si>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</si>
  <si>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</si>
  <si>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</si>
  <si>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</si>
  <si>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</si>
  <si>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</si>
  <si>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</si>
  <si>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</si>
  <si>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</si>
  <si>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</si>
  <si>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</si>
  <si>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</si>
  <si>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</si>
  <si>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</si>
  <si>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</si>
  <si>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</si>
  <si>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</si>
  <si>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</si>
  <si>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</si>
  <si>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</si>
  <si>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1</t>
  </si>
  <si>
    <t>Manager</t>
  </si>
  <si>
    <t>Make plans</t>
  </si>
  <si>
    <t/>
  </si>
  <si>
    <t>Planning report</t>
  </si>
  <si>
    <t>Other</t>
  </si>
  <si>
    <t>ALL</t>
  </si>
  <si>
    <t>Student</t>
  </si>
  <si>
    <t>Attend lecture</t>
  </si>
  <si>
    <t>L01 - Introduction | S01 - The Subject</t>
  </si>
  <si>
    <t>L01 - Introduction | S02 - Working together</t>
  </si>
  <si>
    <t>L01 - Introduction | S03 - Getting started</t>
  </si>
  <si>
    <t>L01 - Introduction | S04 - The Framework</t>
  </si>
  <si>
    <t>Follow up</t>
  </si>
  <si>
    <t>L02 - The data model | S01 - Models and queries</t>
  </si>
  <si>
    <t>L02 - The data model | S02 - Validation and population</t>
  </si>
  <si>
    <t>L02 - The data model | S03 - Advanced topics</t>
  </si>
  <si>
    <t xml:space="preserve">Follow up </t>
  </si>
  <si>
    <t>L03 - Implementing features | S01 - Display features</t>
  </si>
  <si>
    <t>L03 - Implementing features | S02 - Edition features</t>
  </si>
  <si>
    <t>L03 - Implementing features | S03 - Advanced topics</t>
  </si>
  <si>
    <t>Assessments</t>
  </si>
  <si>
    <t>Other (Describe)</t>
  </si>
  <si>
    <t>Compartir con todos los integrantes Identification Form</t>
  </si>
  <si>
    <t>Initialise repository</t>
  </si>
  <si>
    <t>Inicializar proyecto starter</t>
  </si>
  <si>
    <t>Write report</t>
  </si>
  <si>
    <t>Chartering report</t>
  </si>
  <si>
    <t>Development</t>
  </si>
  <si>
    <t>Student 2</t>
  </si>
  <si>
    <t>Developer</t>
  </si>
  <si>
    <t>Customise the starter</t>
  </si>
  <si>
    <t>Realizar configuraciones de logo, banner y colores</t>
  </si>
  <si>
    <t>Supervise task</t>
  </si>
  <si>
    <t>Supervisar configuraciones de logo, banner y colores</t>
  </si>
  <si>
    <t>Student 3</t>
  </si>
  <si>
    <t>Implement feature</t>
  </si>
  <si>
    <t xml:space="preserve">Crear dos cuentas de administrados en sample data </t>
  </si>
  <si>
    <t>Supervisar la correcta creación de las cuentas de administrador</t>
  </si>
  <si>
    <t>Student 4</t>
  </si>
  <si>
    <t>Implementar Model-CG.ufx</t>
  </si>
  <si>
    <t>Comprobar que se cumple la totalidad de clases y relaciones del modelo</t>
  </si>
  <si>
    <t>Requisito de información: Implementar Model-C01.uxf</t>
  </si>
  <si>
    <t>Revision</t>
  </si>
  <si>
    <t>Tester</t>
  </si>
  <si>
    <t>Check task</t>
  </si>
  <si>
    <t>T0029/D</t>
  </si>
  <si>
    <t>Funcional: Cualquier usuario podrá listar y mostrar invenciones publicadas y sus partes. Además, de poder ver el perfil del inventor</t>
  </si>
  <si>
    <t>T0031/D</t>
  </si>
  <si>
    <t>Funcional: Cualquier usuario autenticado podrá adquirir el rol de inventor y actualizar el rol del perfil</t>
  </si>
  <si>
    <t>T0033/D</t>
  </si>
  <si>
    <t>Funcional: Un usuario autenticado como inventor, CRUD sobre sus inventos y sus partes. Además, de poder publicar el invento, lo que haría que sus partes tambien se publicasen.</t>
  </si>
  <si>
    <t>T0035/D</t>
  </si>
  <si>
    <t>No funcional: La interfaz de usuario deberá estar disponible en inglés y español; incluyendo boolean, fechas, dinero y valores numericos</t>
  </si>
  <si>
    <t>T0037/D</t>
  </si>
  <si>
    <t>Testing: producir datos para comprobar los requisitos. Tienen que haber tres cuentas con rol de inventor y la última de ellas sin ningun dato asociado aparte de la información de perfil y su rol</t>
  </si>
  <si>
    <t>T0039/D</t>
  </si>
  <si>
    <t>Requisito de información: Implementar Model-C02.uxf</t>
  </si>
  <si>
    <t>T0041/D</t>
  </si>
  <si>
    <t>Funcional: Cualquier usuario podrá listar y mostrar las campañas publicadas y sus milestones. Además, de poder ver el perfil del portavoz</t>
  </si>
  <si>
    <t>T0043/D</t>
  </si>
  <si>
    <t>Funcional: Cualquier usuario autenticado podrá adquirir el rol de portavoz y actualizar el rol de su perfil</t>
  </si>
  <si>
    <t>T0045/D</t>
  </si>
  <si>
    <t>Funcional: Un usuario autenticado como portavoz, CRUD sobre sus campañas y milestones. Además, de poder publicar una campaña, lo que haría que sus milestones tambien se publicasen.</t>
  </si>
  <si>
    <t>T0047/D</t>
  </si>
  <si>
    <t>T0049/D</t>
  </si>
  <si>
    <t>Testing: producir datos para comprobar los requisitos. Tienen que haber tres cuentas con rol de portavoz y la última de ellas sin ningun dato asociado aparte de la información de perfil y su rol</t>
  </si>
  <si>
    <t>T0051/D</t>
  </si>
  <si>
    <t>Requisito de información: Implementar Model-C03.uxf</t>
  </si>
  <si>
    <t>T0053/D</t>
  </si>
  <si>
    <t>Funcional: Cualquier usuario podrá listar y mostrar estrategias publicadas y sus tácticas. Además, de poder ver el perfil del recaudador de fondos</t>
  </si>
  <si>
    <t>T0055/D</t>
  </si>
  <si>
    <t>Funcional: Cualquier usuario autenticado podrá adquirir el rol de recaudador de fondos y actualizar el rol del perfil</t>
  </si>
  <si>
    <t>T0057/D</t>
  </si>
  <si>
    <t>Funcional: Un usuario autenticado como recaudador de fondos, CRUD sobre sus estrategias y sus tácticas. Además, de poder publicar su estrategia, lo que haría que sus tácticas tambien se publicasen.</t>
  </si>
  <si>
    <t>T0059/D</t>
  </si>
  <si>
    <t>T0061/D</t>
  </si>
  <si>
    <t>Testing: producir datos para comprobar los requisitos. Tienen que haber tres cuentas con rol de recaudador de fondos y la última de ellas sin ningun dato asociado aparte de la información de perfil y su rol</t>
  </si>
  <si>
    <t>T0063/D</t>
  </si>
  <si>
    <t>Requisito de información: Implementar Model-C04.uxf</t>
  </si>
  <si>
    <t>T0065/D</t>
  </si>
  <si>
    <t>Funcional: Cualquier usuario podrá listar y mostrar patrocinio publicados y sus donaciones. Además, de poder ver el perfil del patrocinador.</t>
  </si>
  <si>
    <t>T0067/D</t>
  </si>
  <si>
    <t>Funcional: Cualquier usuario autenticado podrá adquirir el rol de patrocinador y actualizar el rol del perfil</t>
  </si>
  <si>
    <t>T0069/D</t>
  </si>
  <si>
    <t>Funcional: Un usuario autenticado como inventor, CRUD sobre sus patrocinios y sus donaciones. Además, de poder publicar el patrocinio, lo que haría que sus donaciones tambien se publicasen.</t>
  </si>
  <si>
    <t>T0071/D</t>
  </si>
  <si>
    <t>T0073/D</t>
  </si>
  <si>
    <t>Testing: producir datos para comprobar los requisitos. Tienen que haber tres cuentas con rol de patrocinador y la última de ellas sin ningun dato asociado aparte de la información de perfil y su rol</t>
  </si>
  <si>
    <t>T0075/D</t>
  </si>
  <si>
    <t>Deliverable D02</t>
  </si>
  <si>
    <t>Deliverable D03</t>
  </si>
  <si>
    <t>Internal data</t>
  </si>
  <si>
    <t>This sheet contains internal data that are used elsewhere to perform some checks and computations.  Please, do not modify it al all.</t>
  </si>
  <si>
    <t>Prospective assignees</t>
  </si>
  <si>
    <t>Student 5</t>
  </si>
  <si>
    <t>Statuses</t>
  </si>
  <si>
    <t>Planned</t>
  </si>
  <si>
    <t>Ongoing</t>
  </si>
  <si>
    <t>Finished</t>
  </si>
  <si>
    <t>Moments</t>
  </si>
  <si>
    <t>2100/31/12  23:59:59</t>
  </si>
  <si>
    <t>Roles</t>
  </si>
  <si>
    <t>Cost</t>
  </si>
  <si>
    <t>Tasks…</t>
  </si>
  <si>
    <t>Study and train</t>
  </si>
  <si>
    <t>Attend work meeting</t>
  </si>
  <si>
    <t>Make re-plannings</t>
  </si>
  <si>
    <t>Analyst</t>
  </si>
  <si>
    <t>Elicit requirements</t>
  </si>
  <si>
    <t>Define features</t>
  </si>
  <si>
    <t>Create domain model</t>
  </si>
  <si>
    <t>Create dev. config.</t>
  </si>
  <si>
    <t>Test feature informally</t>
  </si>
  <si>
    <t>Check deliverable</t>
  </si>
  <si>
    <t>Test feature formally</t>
  </si>
  <si>
    <t>Test performance formally</t>
  </si>
  <si>
    <t>Operator</t>
  </si>
  <si>
    <t>Prepare dep. platf.</t>
  </si>
  <si>
    <t>Package deliverable</t>
  </si>
  <si>
    <t>Upload deliverable</t>
  </si>
  <si>
    <t>Deploy application</t>
  </si>
  <si>
    <t>Keep application running</t>
  </si>
  <si>
    <t>Task types</t>
  </si>
  <si>
    <t>Key</t>
  </si>
  <si>
    <t>M</t>
  </si>
  <si>
    <t>D</t>
  </si>
  <si>
    <t>QA</t>
  </si>
  <si>
    <t>R</t>
  </si>
  <si>
    <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</si>
</sst>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EUR]\ #,##0.00"/>
  </numFmts>
  <fonts count="24">
    <font>
      <sz val="11"/>
      <color theme="1"/>
      <name val="Aptos Narrow"/>
      <charset val="134"/>
      <scheme val="minor"/>
    </font>
    <font>
      <b/>
      <sz val="11"/>
      <color theme="0"/>
      <name val="Aptos Narrow"/>
      <charset val="134"/>
      <scheme val="minor"/>
    </font>
    <font>
      <b/>
      <sz val="11"/>
      <color theme="1"/>
      <name val="Aptos Narrow"/>
      <charset val="134"/>
      <scheme val="minor"/>
    </font>
    <font>
      <b/>
      <sz val="1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42">
    <fill>
      <patternFill patternType="none"/>
    </fill>
    <fill>
      <patternFill patternType="gray125"/>
    </fill>
    <fill>
      <patternFill patternType="solid">
        <fgColor theme="1"/>
        <bgColor indexed="64"/>
      </patternFill>
    </fill>
    <fill>
      <patternFill patternType="solid">
        <fgColor theme="2" tint="-0.0999786370433668"/>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theme="7" tint="0.799981688894314"/>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top/>
      <bottom style="medium">
        <color auto="1"/>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177"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1" borderId="1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5" applyNumberFormat="0" applyFill="0" applyAlignment="0" applyProtection="0">
      <alignment vertical="center"/>
    </xf>
    <xf numFmtId="0" fontId="11" fillId="0" borderId="15" applyNumberFormat="0" applyFill="0" applyAlignment="0" applyProtection="0">
      <alignment vertical="center"/>
    </xf>
    <xf numFmtId="0" fontId="12" fillId="0" borderId="16" applyNumberFormat="0" applyFill="0" applyAlignment="0" applyProtection="0">
      <alignment vertical="center"/>
    </xf>
    <xf numFmtId="0" fontId="12" fillId="0" borderId="0" applyNumberFormat="0" applyFill="0" applyBorder="0" applyAlignment="0" applyProtection="0">
      <alignment vertical="center"/>
    </xf>
    <xf numFmtId="0" fontId="13" fillId="12" borderId="17" applyNumberFormat="0" applyAlignment="0" applyProtection="0">
      <alignment vertical="center"/>
    </xf>
    <xf numFmtId="0" fontId="14" fillId="13" borderId="18" applyNumberFormat="0" applyAlignment="0" applyProtection="0">
      <alignment vertical="center"/>
    </xf>
    <xf numFmtId="0" fontId="15" fillId="13" borderId="17" applyNumberFormat="0" applyAlignment="0" applyProtection="0">
      <alignment vertical="center"/>
    </xf>
    <xf numFmtId="0" fontId="16" fillId="14" borderId="19" applyNumberFormat="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22" fillId="41" borderId="0" applyNumberFormat="0" applyBorder="0" applyAlignment="0" applyProtection="0">
      <alignment vertical="center"/>
    </xf>
  </cellStyleXfs>
  <cellXfs count="62">
    <xf numFmtId="0" fontId="0" fillId="0" borderId="0" xfId="0"/>
    <xf numFmtId="0" fontId="1" fillId="2" borderId="0" xfId="0" applyFont="1" applyFill="1" applyAlignment="1">
      <alignment horizontal="center" vertical="center"/>
    </xf>
    <xf numFmtId="0" fontId="0" fillId="3" borderId="0" xfId="0" applyFill="1" applyAlignment="1">
      <alignment horizontal="left" vertical="center" wrapText="1"/>
    </xf>
    <xf numFmtId="0" fontId="0" fillId="0" borderId="0" xfId="0" applyAlignment="1">
      <alignment horizontal="left" vertical="center" wrapText="1"/>
    </xf>
    <xf numFmtId="0" fontId="2" fillId="4" borderId="1" xfId="0" applyFont="1" applyFill="1" applyBorder="1" applyAlignment="1">
      <alignment vertical="center"/>
    </xf>
    <xf numFmtId="0" fontId="0" fillId="4" borderId="0" xfId="0" applyFill="1"/>
    <xf numFmtId="0" fontId="0" fillId="4" borderId="2" xfId="0" applyFill="1" applyBorder="1" applyAlignment="1">
      <alignment vertical="center"/>
    </xf>
    <xf numFmtId="0" fontId="0" fillId="4" borderId="3" xfId="0" applyFill="1" applyBorder="1" applyAlignment="1">
      <alignment vertical="center"/>
    </xf>
    <xf numFmtId="0" fontId="0" fillId="4" borderId="0" xfId="0" applyFill="1" applyAlignment="1">
      <alignment vertical="center"/>
    </xf>
    <xf numFmtId="0" fontId="2" fillId="4" borderId="1" xfId="0" applyFont="1" applyFill="1" applyBorder="1"/>
    <xf numFmtId="0" fontId="0" fillId="4" borderId="2" xfId="0" applyFill="1" applyBorder="1"/>
    <xf numFmtId="0" fontId="0" fillId="4" borderId="3" xfId="0" applyFill="1" applyBorder="1"/>
    <xf numFmtId="22" fontId="0" fillId="4" borderId="2" xfId="0" applyNumberFormat="1" applyFill="1" applyBorder="1"/>
    <xf numFmtId="22" fontId="0" fillId="4" borderId="3" xfId="0" applyNumberFormat="1" applyFill="1" applyBorder="1" applyAlignment="1">
      <alignment horizontal="right"/>
    </xf>
    <xf numFmtId="0" fontId="2" fillId="4" borderId="4" xfId="0" applyFont="1" applyFill="1" applyBorder="1" applyAlignment="1">
      <alignment vertical="center"/>
    </xf>
    <xf numFmtId="0" fontId="2" fillId="4" borderId="5" xfId="0" applyFont="1" applyFill="1" applyBorder="1"/>
    <xf numFmtId="0" fontId="0" fillId="4" borderId="5" xfId="0" applyFill="1" applyBorder="1"/>
    <xf numFmtId="0" fontId="0" fillId="4" borderId="6" xfId="0" applyFill="1" applyBorder="1" applyAlignment="1">
      <alignment vertical="center"/>
    </xf>
    <xf numFmtId="0" fontId="0" fillId="4" borderId="0" xfId="0" applyFill="1" applyAlignment="1">
      <alignment horizontal="left"/>
    </xf>
    <xf numFmtId="0" fontId="0" fillId="4" borderId="6" xfId="0" applyFill="1" applyBorder="1"/>
    <xf numFmtId="0" fontId="0" fillId="4" borderId="7" xfId="0" applyFill="1" applyBorder="1" applyAlignment="1">
      <alignment vertical="center"/>
    </xf>
    <xf numFmtId="0" fontId="0" fillId="4" borderId="8" xfId="0" applyFill="1" applyBorder="1" applyAlignment="1">
      <alignment horizontal="left"/>
    </xf>
    <xf numFmtId="0" fontId="0" fillId="4" borderId="8" xfId="0" applyFill="1" applyBorder="1"/>
    <xf numFmtId="0" fontId="2" fillId="4" borderId="4" xfId="0" applyFont="1" applyFill="1" applyBorder="1"/>
    <xf numFmtId="0" fontId="2" fillId="4" borderId="9" xfId="0" applyFont="1" applyFill="1" applyBorder="1"/>
    <xf numFmtId="0" fontId="0" fillId="4" borderId="10" xfId="0" applyFill="1" applyBorder="1"/>
    <xf numFmtId="0" fontId="0" fillId="4" borderId="7" xfId="0" applyFill="1" applyBorder="1"/>
    <xf numFmtId="0" fontId="0" fillId="4" borderId="11" xfId="0" applyFill="1" applyBorder="1"/>
    <xf numFmtId="0" fontId="0" fillId="4" borderId="9" xfId="0" applyFill="1" applyBorder="1"/>
    <xf numFmtId="0" fontId="3" fillId="5" borderId="0" xfId="0" applyFont="1" applyFill="1" applyAlignment="1">
      <alignment horizontal="center" vertical="center" wrapText="1"/>
    </xf>
    <xf numFmtId="0" fontId="3" fillId="5" borderId="0" xfId="0" applyFont="1" applyFill="1" applyAlignment="1">
      <alignment horizontal="right" vertical="center" wrapText="1"/>
    </xf>
    <xf numFmtId="178" fontId="0" fillId="0" borderId="0" xfId="0" applyNumberFormat="1" applyAlignment="1">
      <alignment horizontal="right" vertical="center" wrapText="1"/>
    </xf>
    <xf numFmtId="0" fontId="3" fillId="5" borderId="0" xfId="0" applyFont="1" applyFill="1" applyAlignment="1">
      <alignment horizontal="right"/>
    </xf>
    <xf numFmtId="178" fontId="0" fillId="0" borderId="0" xfId="0" applyNumberFormat="1" applyAlignment="1">
      <alignment horizontal="right"/>
    </xf>
    <xf numFmtId="0" fontId="0" fillId="5" borderId="0" xfId="0" applyFill="1"/>
    <xf numFmtId="0" fontId="3" fillId="5" borderId="0" xfId="0" applyFont="1" applyFill="1"/>
    <xf numFmtId="0" fontId="3" fillId="5" borderId="12" xfId="0" applyFont="1" applyFill="1" applyBorder="1" applyAlignment="1">
      <alignment horizontal="center"/>
    </xf>
    <xf numFmtId="0" fontId="3" fillId="5" borderId="12" xfId="0" applyFont="1" applyFill="1" applyBorder="1"/>
    <xf numFmtId="0" fontId="0" fillId="4" borderId="13" xfId="0" applyFill="1" applyBorder="1" applyAlignment="1">
      <alignment vertical="center"/>
    </xf>
    <xf numFmtId="0" fontId="0" fillId="6" borderId="13" xfId="0" applyFill="1" applyBorder="1" applyAlignment="1">
      <alignment horizontal="center"/>
    </xf>
    <xf numFmtId="0" fontId="0" fillId="7" borderId="13" xfId="0" applyFill="1" applyBorder="1"/>
    <xf numFmtId="0" fontId="0" fillId="7" borderId="13" xfId="0" applyFill="1" applyBorder="1" applyAlignment="1">
      <alignment horizontal="center"/>
    </xf>
    <xf numFmtId="22" fontId="0" fillId="0" borderId="0" xfId="0" applyNumberFormat="1"/>
    <xf numFmtId="0" fontId="3" fillId="5" borderId="0" xfId="0" applyFont="1" applyFill="1" applyAlignment="1">
      <alignment horizontal="center"/>
    </xf>
    <xf numFmtId="0" fontId="3" fillId="5" borderId="12" xfId="0" applyFont="1" applyFill="1" applyBorder="1" applyAlignment="1">
      <alignment horizontal="right"/>
    </xf>
    <xf numFmtId="22" fontId="0" fillId="7" borderId="13" xfId="0" applyNumberFormat="1" applyFill="1" applyBorder="1"/>
    <xf numFmtId="178" fontId="0" fillId="6" borderId="13" xfId="0" applyNumberFormat="1" applyFill="1" applyBorder="1"/>
    <xf numFmtId="2" fontId="0" fillId="7" borderId="13" xfId="0" applyNumberFormat="1" applyFill="1" applyBorder="1"/>
    <xf numFmtId="0" fontId="0" fillId="6" borderId="13" xfId="0" applyFont="1" applyFill="1" applyBorder="1" applyAlignment="1">
      <alignment horizontal="center"/>
    </xf>
    <xf numFmtId="0" fontId="0" fillId="7" borderId="13" xfId="0" applyFont="1" applyFill="1" applyBorder="1" applyAlignment="1"/>
    <xf numFmtId="0" fontId="0" fillId="7" borderId="13" xfId="0" applyFont="1" applyFill="1" applyBorder="1" applyAlignment="1">
      <alignment horizontal="center"/>
    </xf>
    <xf numFmtId="22" fontId="0" fillId="7" borderId="13" xfId="0" applyNumberFormat="1" applyFont="1" applyFill="1" applyBorder="1" applyAlignment="1"/>
    <xf numFmtId="178" fontId="0" fillId="6" borderId="13" xfId="0" applyNumberFormat="1" applyFont="1" applyFill="1" applyBorder="1" applyAlignment="1"/>
    <xf numFmtId="2" fontId="0" fillId="7" borderId="13" xfId="0" applyNumberFormat="1" applyFont="1" applyFill="1" applyBorder="1" applyAlignment="1"/>
    <xf numFmtId="0" fontId="2" fillId="0" borderId="0" xfId="0" applyFont="1" applyAlignment="1">
      <alignment vertical="center"/>
    </xf>
    <xf numFmtId="0" fontId="0" fillId="0" borderId="0" xfId="0" applyAlignment="1">
      <alignment vertical="center"/>
    </xf>
    <xf numFmtId="0" fontId="0" fillId="8" borderId="0" xfId="0" applyFill="1" applyAlignment="1">
      <alignment vertical="center"/>
    </xf>
    <xf numFmtId="0" fontId="0" fillId="7" borderId="0" xfId="0" applyFill="1" applyAlignment="1">
      <alignment vertical="center"/>
    </xf>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vertical="center"/>
    </xf>
    <xf numFmtId="0" fontId="0" fillId="0" borderId="0" xfId="0" applyAlignment="1" quotePrefix="1">
      <alignment vertical="center"/>
    </xf>
    <xf numFmtId="0" fontId="0" fillId="4" borderId="10" xfId="0" applyFill="1" applyBorder="1" quotePrefix="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2">
    <dxf>
      <font>
        <strike val="0"/>
        <color rgb="FFFFFF00"/>
      </font>
      <fill>
        <patternFill patternType="solid">
          <bgColor rgb="FFFF0000"/>
        </patternFill>
      </fill>
    </dxf>
    <dxf>
      <font>
        <color rgb="FFFFFF00"/>
      </font>
      <fill>
        <patternFill patternType="solid">
          <bgColor rgb="FFFF0000"/>
        </patternFill>
      </fill>
    </dxf>
  </dxfs>
  <tableStyles count="0" defaultTableStyle="TableStyleMedium2" defaultPivotStyle="PivotStyleLight16"/>
  <colors>
    <mruColors>
      <color rgb="00F96161"/>
      <color rgb="00FF6699"/>
      <color rgb="00FE7A7A"/>
      <color rgb="00FE5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581025</xdr:colOff>
      <xdr:row>13</xdr:row>
      <xdr:rowOff>0</xdr:rowOff>
    </xdr:from>
    <xdr:to>
      <xdr:col>11</xdr:col>
      <xdr:colOff>95250</xdr:colOff>
      <xdr:row>13</xdr:row>
      <xdr:rowOff>0</xdr:rowOff>
    </xdr:to>
    <xdr:sp>
      <xdr:nvSpPr>
        <xdr:cNvPr id="2" name="TextBox 1"/>
        <xdr:cNvSpPr txBox="1"/>
      </xdr:nvSpPr>
      <xdr:spPr>
        <a:xfrm>
          <a:off x="581025" y="2228850"/>
          <a:ext cx="7148830" cy="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xdr:nvSpPr>
        <xdr:cNvPr id="3" name="TextBox 2"/>
        <xdr:cNvSpPr txBox="1"/>
      </xdr:nvSpPr>
      <xdr:spPr>
        <a:xfrm>
          <a:off x="571500" y="2228850"/>
          <a:ext cx="7148830" cy="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xdr:nvSpPr>
        <xdr:cNvPr id="4" name="TextBox 3"/>
        <xdr:cNvSpPr txBox="1"/>
      </xdr:nvSpPr>
      <xdr:spPr>
        <a:xfrm>
          <a:off x="552450" y="2228850"/>
          <a:ext cx="7148830" cy="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endParaRPr lang="en-GB" sz="2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2"/>
  <sheetViews>
    <sheetView workbookViewId="0">
      <selection activeCell="B1" sqref="B1"/>
    </sheetView>
  </sheetViews>
  <sheetFormatPr defaultColWidth="9.10833333333333" defaultRowHeight="13.5"/>
  <cols>
    <col min="1" max="16384" width="9.10833333333333" style="55"/>
  </cols>
  <sheetData>
    <row r="2" spans="2:10">
      <c r="B2" s="1" t="s">
        <v>0</v>
      </c>
      <c r="C2" s="1"/>
      <c r="D2" s="1"/>
      <c r="E2" s="1"/>
      <c r="F2" s="1"/>
      <c r="G2" s="1"/>
      <c r="H2" s="1"/>
      <c r="I2" s="1"/>
      <c r="J2" s="1"/>
    </row>
    <row r="4" spans="2:10">
      <c r="B4" s="2" t="s">
        <v>1</v>
      </c>
      <c r="C4" s="61"/>
      <c r="D4" s="61"/>
      <c r="E4" s="61"/>
      <c r="F4" s="61"/>
      <c r="G4" s="61"/>
      <c r="H4" s="61"/>
      <c r="I4" s="61"/>
      <c r="J4" s="61"/>
    </row>
    <row r="5" spans="2:10">
      <c r="B5" s="61"/>
      <c r="C5" s="61"/>
      <c r="D5" s="61"/>
      <c r="E5" s="61"/>
      <c r="F5" s="61"/>
      <c r="G5" s="61"/>
      <c r="H5" s="61"/>
      <c r="I5" s="61"/>
      <c r="J5" s="61"/>
    </row>
    <row r="6" spans="2:10">
      <c r="B6" s="61"/>
      <c r="C6" s="61"/>
      <c r="D6" s="61"/>
      <c r="E6" s="61"/>
      <c r="F6" s="61"/>
      <c r="G6" s="61"/>
      <c r="H6" s="61"/>
      <c r="I6" s="61"/>
      <c r="J6" s="61"/>
    </row>
    <row r="7" spans="2:10">
      <c r="B7" s="61"/>
      <c r="C7" s="61"/>
      <c r="D7" s="61"/>
      <c r="E7" s="61"/>
      <c r="F7" s="61"/>
      <c r="G7" s="61"/>
      <c r="H7" s="61"/>
      <c r="I7" s="61"/>
      <c r="J7" s="61"/>
    </row>
    <row r="8" spans="2:10">
      <c r="B8" s="61"/>
      <c r="C8" s="61"/>
      <c r="D8" s="61"/>
      <c r="E8" s="61"/>
      <c r="F8" s="61"/>
      <c r="G8" s="61"/>
      <c r="H8" s="61"/>
      <c r="I8" s="61"/>
      <c r="J8" s="61"/>
    </row>
    <row r="9" spans="2:10">
      <c r="B9" s="61"/>
      <c r="C9" s="61"/>
      <c r="D9" s="61"/>
      <c r="E9" s="61"/>
      <c r="F9" s="61"/>
      <c r="G9" s="61"/>
      <c r="H9" s="61"/>
      <c r="I9" s="61"/>
      <c r="J9" s="61"/>
    </row>
    <row r="10" spans="2:10">
      <c r="B10" s="61"/>
      <c r="C10" s="61"/>
      <c r="D10" s="61"/>
      <c r="E10" s="61"/>
      <c r="F10" s="61"/>
      <c r="G10" s="61"/>
      <c r="H10" s="61"/>
      <c r="I10" s="61"/>
      <c r="J10" s="61"/>
    </row>
    <row r="11" spans="2:10">
      <c r="B11" s="61"/>
      <c r="C11" s="61"/>
      <c r="D11" s="61"/>
      <c r="E11" s="61"/>
      <c r="F11" s="61"/>
      <c r="G11" s="61"/>
      <c r="H11" s="61"/>
      <c r="I11" s="61"/>
      <c r="J11" s="61"/>
    </row>
    <row r="12" spans="2:10">
      <c r="B12" s="61"/>
      <c r="C12" s="61"/>
      <c r="D12" s="61"/>
      <c r="E12" s="61"/>
      <c r="F12" s="61"/>
      <c r="G12" s="61"/>
      <c r="H12" s="61"/>
      <c r="I12" s="61"/>
      <c r="J12" s="61"/>
    </row>
  </sheetData>
  <mergeCells count="2">
    <mergeCell ref="B2:J2"/>
    <mergeCell ref="B4:J12"/>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2"/>
  <sheetViews>
    <sheetView workbookViewId="0">
      <selection activeCell="C13" sqref="C13"/>
    </sheetView>
  </sheetViews>
  <sheetFormatPr defaultColWidth="9" defaultRowHeight="13.5"/>
  <sheetData>
    <row r="2" spans="2:10">
      <c r="B2" s="1" t="s">
        <v>2</v>
      </c>
      <c r="C2" s="1"/>
      <c r="D2" s="1"/>
      <c r="E2" s="1"/>
      <c r="F2" s="1"/>
      <c r="G2" s="1"/>
      <c r="H2" s="1"/>
      <c r="I2" s="1"/>
      <c r="J2" s="1"/>
    </row>
    <row r="3" spans="2:10">
      <c r="B3" s="54"/>
      <c r="C3" s="55"/>
      <c r="D3" s="55"/>
      <c r="E3" s="55"/>
      <c r="F3" s="55"/>
      <c r="G3" s="55"/>
      <c r="H3" s="55"/>
      <c r="I3" s="55"/>
      <c r="J3" s="55"/>
    </row>
    <row r="4" ht="15" customHeight="1" spans="2:10">
      <c r="B4" s="2" t="s">
        <v>3</v>
      </c>
      <c r="C4" s="2"/>
      <c r="D4" s="2"/>
      <c r="E4" s="2"/>
      <c r="F4" s="2"/>
      <c r="G4" s="2"/>
      <c r="H4" s="2"/>
      <c r="I4" s="2"/>
      <c r="J4" s="2"/>
    </row>
    <row r="5" spans="2:10">
      <c r="B5" s="2"/>
      <c r="C5" s="2"/>
      <c r="D5" s="2"/>
      <c r="E5" s="2"/>
      <c r="F5" s="2"/>
      <c r="G5" s="2"/>
      <c r="H5" s="2"/>
      <c r="I5" s="2"/>
      <c r="J5" s="2"/>
    </row>
    <row r="6" spans="2:10">
      <c r="B6" s="2"/>
      <c r="C6" s="2"/>
      <c r="D6" s="2"/>
      <c r="E6" s="2"/>
      <c r="F6" s="2"/>
      <c r="G6" s="2"/>
      <c r="H6" s="2"/>
      <c r="I6" s="2"/>
      <c r="J6" s="2"/>
    </row>
    <row r="7" spans="2:10">
      <c r="B7" s="55"/>
      <c r="C7" s="55"/>
      <c r="D7" s="55"/>
      <c r="E7" s="55"/>
      <c r="F7" s="55"/>
      <c r="G7" s="55"/>
      <c r="H7" s="55"/>
      <c r="I7" s="55"/>
      <c r="J7" s="55"/>
    </row>
    <row r="8" spans="2:10">
      <c r="B8" s="56"/>
      <c r="C8" s="62" t="s">
        <v>4</v>
      </c>
      <c r="D8" s="55"/>
      <c r="E8" s="55"/>
      <c r="F8" s="55"/>
      <c r="G8" s="55"/>
      <c r="H8" s="55"/>
      <c r="I8" s="55"/>
      <c r="J8" s="55"/>
    </row>
    <row r="9" spans="2:10">
      <c r="B9" s="57"/>
      <c r="C9" s="58" t="s">
        <v>5</v>
      </c>
      <c r="D9" s="58"/>
      <c r="E9" s="58"/>
      <c r="F9" s="58"/>
      <c r="G9" s="58"/>
      <c r="H9" s="58"/>
      <c r="I9" s="58"/>
      <c r="J9" s="58"/>
    </row>
    <row r="10" spans="2:10">
      <c r="B10" s="59"/>
      <c r="C10" s="58" t="s">
        <v>6</v>
      </c>
      <c r="D10" s="58"/>
      <c r="E10" s="58"/>
      <c r="F10" s="58"/>
      <c r="G10" s="58"/>
      <c r="H10" s="58"/>
      <c r="I10" s="58"/>
      <c r="J10" s="58"/>
    </row>
    <row r="11" spans="2:10">
      <c r="B11" s="60"/>
      <c r="C11" s="58" t="s">
        <v>7</v>
      </c>
      <c r="D11" s="58"/>
      <c r="E11" s="58"/>
      <c r="F11" s="58"/>
      <c r="G11" s="58"/>
      <c r="H11" s="58"/>
      <c r="I11" s="58"/>
      <c r="J11" s="58"/>
    </row>
    <row r="12" spans="2:10">
      <c r="B12" s="8"/>
      <c r="C12" s="58" t="s">
        <v>8</v>
      </c>
      <c r="D12" s="58"/>
      <c r="E12" s="58"/>
      <c r="F12" s="58"/>
      <c r="G12" s="58"/>
      <c r="H12" s="58"/>
      <c r="I12" s="58"/>
      <c r="J12" s="58"/>
    </row>
  </sheetData>
  <mergeCells count="5">
    <mergeCell ref="B2:J2"/>
    <mergeCell ref="C9:J9"/>
    <mergeCell ref="C10:J10"/>
    <mergeCell ref="C12:J12"/>
    <mergeCell ref="B4:J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110"/>
  <sheetViews>
    <sheetView tabSelected="1" zoomScale="115" zoomScaleNormal="115" workbookViewId="0">
      <pane ySplit="10" topLeftCell="A53" activePane="bottomLeft" state="frozen"/>
      <selection/>
      <selection pane="bottomLeft" activeCell="D87" sqref="D87"/>
    </sheetView>
  </sheetViews>
  <sheetFormatPr defaultColWidth="9" defaultRowHeight="13.5"/>
  <cols>
    <col min="3" max="15" width="18.8833333333333" customWidth="1"/>
    <col min="16" max="16" width="194.775" customWidth="1"/>
  </cols>
  <sheetData>
    <row r="2" spans="3:16">
      <c r="C2" s="1" t="s">
        <v>9</v>
      </c>
      <c r="D2" s="1"/>
      <c r="E2" s="1"/>
      <c r="F2" s="1"/>
      <c r="G2" s="1"/>
      <c r="H2" s="1"/>
      <c r="I2" s="1"/>
      <c r="J2" s="1"/>
      <c r="K2" s="1"/>
      <c r="L2" s="1"/>
      <c r="M2" s="1"/>
      <c r="N2" s="1"/>
      <c r="O2" s="1"/>
      <c r="P2" s="1"/>
    </row>
    <row r="4" ht="15" customHeight="1" spans="3:16">
      <c r="C4" s="2" t="s">
        <v>10</v>
      </c>
      <c r="D4" s="2"/>
      <c r="E4" s="2"/>
      <c r="F4" s="2"/>
      <c r="G4" s="2"/>
      <c r="H4" s="2"/>
      <c r="I4" s="2"/>
      <c r="J4" s="2"/>
      <c r="K4" s="2"/>
      <c r="L4" s="2"/>
      <c r="M4" s="2"/>
      <c r="N4" s="2"/>
      <c r="O4" s="2"/>
      <c r="P4" s="2"/>
    </row>
    <row r="5" spans="3:16">
      <c r="C5" s="3"/>
      <c r="D5" s="3"/>
      <c r="E5" s="3"/>
      <c r="F5" s="3"/>
      <c r="G5" s="3"/>
      <c r="H5" s="3"/>
      <c r="I5" s="3"/>
      <c r="J5" s="3"/>
      <c r="K5" s="3"/>
      <c r="L5" s="3"/>
      <c r="M5" s="3"/>
      <c r="N5" s="3"/>
      <c r="O5" s="3"/>
      <c r="P5" s="3"/>
    </row>
    <row r="6" spans="3:16">
      <c r="C6" s="29" t="s">
        <v>11</v>
      </c>
      <c r="D6" s="30" t="s">
        <v>12</v>
      </c>
      <c r="E6" s="31">
        <f>SUM(N11:N110)</f>
        <v>977.5</v>
      </c>
      <c r="F6" s="3"/>
      <c r="G6" s="3"/>
      <c r="H6" s="3"/>
      <c r="I6" s="3"/>
      <c r="J6" s="3"/>
      <c r="K6" s="3"/>
      <c r="L6" s="3"/>
      <c r="M6" s="3"/>
      <c r="N6" s="3"/>
      <c r="O6" s="3"/>
      <c r="P6" s="3"/>
    </row>
    <row r="7" spans="3:10">
      <c r="C7" s="29"/>
      <c r="D7" s="32" t="s">
        <v>13</v>
      </c>
      <c r="E7" s="33">
        <f>SUM(O11:O110)</f>
        <v>0</v>
      </c>
      <c r="J7" s="42"/>
    </row>
    <row r="9" spans="2:16">
      <c r="B9" s="34"/>
      <c r="C9" s="35"/>
      <c r="D9" s="35"/>
      <c r="E9" s="35"/>
      <c r="F9" s="35"/>
      <c r="G9" s="35"/>
      <c r="H9" s="35"/>
      <c r="I9" s="43" t="s">
        <v>14</v>
      </c>
      <c r="J9" s="43"/>
      <c r="K9" s="35"/>
      <c r="L9" s="43" t="s">
        <v>15</v>
      </c>
      <c r="M9" s="43"/>
      <c r="N9" s="43" t="s">
        <v>16</v>
      </c>
      <c r="O9" s="43"/>
      <c r="P9" s="35"/>
    </row>
    <row r="10" ht="14.25" spans="2:16">
      <c r="B10" s="36" t="s">
        <v>17</v>
      </c>
      <c r="C10" s="36" t="s">
        <v>18</v>
      </c>
      <c r="D10" s="37" t="s">
        <v>19</v>
      </c>
      <c r="E10" s="37" t="s">
        <v>20</v>
      </c>
      <c r="F10" s="37" t="s">
        <v>21</v>
      </c>
      <c r="G10" s="37" t="s">
        <v>22</v>
      </c>
      <c r="H10" s="36" t="s">
        <v>23</v>
      </c>
      <c r="I10" s="44" t="s">
        <v>24</v>
      </c>
      <c r="J10" s="44" t="s">
        <v>25</v>
      </c>
      <c r="K10" s="37" t="s">
        <v>26</v>
      </c>
      <c r="L10" s="44" t="s">
        <v>27</v>
      </c>
      <c r="M10" s="44" t="s">
        <v>28</v>
      </c>
      <c r="N10" s="44" t="s">
        <v>27</v>
      </c>
      <c r="O10" s="44" t="s">
        <v>28</v>
      </c>
      <c r="P10" s="37" t="s">
        <v>29</v>
      </c>
    </row>
    <row r="11" ht="14.25" spans="2:16">
      <c r="B11" s="38">
        <v>1</v>
      </c>
      <c r="C11" s="39" t="str">
        <f>IF(ISBLANK(D11),"",_xlfn.CONCAT("T",TEXT(B11,"0000"),"/",VLOOKUP(D11,Internal!$B$35:C$39,2,FALSE),IF(OR(D11="QA",D11="Revision"),_xlfn.CONCAT("/",H11),"")))</f>
        <v>T0001/M</v>
      </c>
      <c r="D11" s="40" t="s">
        <v>30</v>
      </c>
      <c r="E11" s="41" t="s">
        <v>31</v>
      </c>
      <c r="F11" s="41" t="s">
        <v>32</v>
      </c>
      <c r="G11" s="40" t="s">
        <v>33</v>
      </c>
      <c r="H11" s="41" t="s">
        <v>34</v>
      </c>
      <c r="I11" s="45">
        <v>46059.6666666667</v>
      </c>
      <c r="J11" s="45">
        <v>46059.75</v>
      </c>
      <c r="K11" s="46" t="str">
        <f ca="1">IF(OR(I11="",J11=""),"",IF(AND(J11&lt;&gt;"",I11&gt;=NOW()),"Planned",IF(AND(J11&lt;&gt;"",J11&lt;NOW()),"Completed","Ongoing")))</f>
        <v>Ongoing</v>
      </c>
      <c r="L11" s="47">
        <v>1.5</v>
      </c>
      <c r="M11" s="47"/>
      <c r="N11" s="46">
        <f>IF(ISBLANK(L11),"",L11*VLOOKUP($F11,Internal!$B$26:$C$32,2,FALSE))</f>
        <v>75</v>
      </c>
      <c r="O11" s="46" t="str">
        <f>IF(ISBLANK(M11),"",M11*VLOOKUP($F11,Internal!$B$26:$C$32,2,FALSE))</f>
        <v/>
      </c>
      <c r="P11" s="40" t="s">
        <v>35</v>
      </c>
    </row>
    <row r="12" ht="14.25" spans="2:16">
      <c r="B12" s="38">
        <v>2</v>
      </c>
      <c r="C12" s="48" t="str">
        <f>IF(ISBLANK(D12),"",_xlfn.CONCAT("T",TEXT(B12,"0000"),"/",VLOOKUP(D12,Internal!$B$35:C$39,2,FALSE),IF(OR(D12="QA",D12="Revision"),_xlfn.CONCAT("/",H12),"")))</f>
        <v>T0002/O</v>
      </c>
      <c r="D12" s="49" t="s">
        <v>36</v>
      </c>
      <c r="E12" s="50" t="s">
        <v>37</v>
      </c>
      <c r="F12" s="50" t="s">
        <v>38</v>
      </c>
      <c r="G12" s="49" t="s">
        <v>39</v>
      </c>
      <c r="H12" s="50"/>
      <c r="I12" s="51">
        <v>46048.4444444444</v>
      </c>
      <c r="J12" s="51">
        <v>46048.5208333333</v>
      </c>
      <c r="K12" s="52" t="str">
        <f ca="1" t="shared" ref="K11:K29" si="0">IF(OR(I12="",J12=""),"",IF(AND(J12&lt;&gt;"",I12&gt;=NOW()),"Planned",IF(AND(J12&lt;&gt;"",J12&lt;NOW()),"Completed","Ongoing")))</f>
        <v>Completed</v>
      </c>
      <c r="L12" s="53">
        <v>1.83</v>
      </c>
      <c r="M12" s="53">
        <v>1.83</v>
      </c>
      <c r="N12" s="52">
        <f>IF(ISBLANK(L12),"",L12*VLOOKUP($F12,Internal!$B$26:$C$32,2,FALSE))</f>
        <v>0</v>
      </c>
      <c r="O12" s="52">
        <f>IF(ISBLANK(M12),"",M12*VLOOKUP($F12,Internal!$B$26:$C$32,2,FALSE))</f>
        <v>0</v>
      </c>
      <c r="P12" s="49" t="s">
        <v>40</v>
      </c>
    </row>
    <row r="13" ht="14.25" spans="2:16">
      <c r="B13" s="38">
        <v>3</v>
      </c>
      <c r="C13" s="48" t="str">
        <f>IF(ISBLANK(D13),"",_xlfn.CONCAT("T",TEXT(B13,"0000"),"/",VLOOKUP(D13,Internal!$B$35:C$39,2,FALSE),IF(OR(D13="QA",D13="Revision"),_xlfn.CONCAT("/",H13),"")))</f>
        <v>T0003/O</v>
      </c>
      <c r="D13" s="49" t="s">
        <v>36</v>
      </c>
      <c r="E13" s="50" t="s">
        <v>37</v>
      </c>
      <c r="F13" s="50" t="s">
        <v>38</v>
      </c>
      <c r="G13" s="49" t="s">
        <v>39</v>
      </c>
      <c r="H13" s="50"/>
      <c r="I13" s="51">
        <v>46051.3541666667</v>
      </c>
      <c r="J13" s="51">
        <v>46051.4444444444</v>
      </c>
      <c r="K13" s="52" t="str">
        <f ca="1" t="shared" si="0"/>
        <v>Completed</v>
      </c>
      <c r="L13" s="53">
        <v>1.83</v>
      </c>
      <c r="M13" s="53">
        <v>1.83</v>
      </c>
      <c r="N13" s="52">
        <f>IF(ISBLANK(L13),"",L13*VLOOKUP($F13,Internal!$B$26:$C$32,2,FALSE))</f>
        <v>0</v>
      </c>
      <c r="O13" s="52">
        <f>IF(ISBLANK(M13),"",M13*VLOOKUP($F13,Internal!$B$26:$C$32,2,FALSE))</f>
        <v>0</v>
      </c>
      <c r="P13" s="49" t="s">
        <v>41</v>
      </c>
    </row>
    <row r="14" ht="14.25" spans="2:16">
      <c r="B14" s="38">
        <v>4</v>
      </c>
      <c r="C14" s="48" t="str">
        <f>IF(ISBLANK(D14),"",_xlfn.CONCAT("T",TEXT(B14,"0000"),"/",VLOOKUP(D14,Internal!$B$35:C$39,2,FALSE),IF(OR(D14="QA",D14="Revision"),_xlfn.CONCAT("/",H14),"")))</f>
        <v>T0004/O</v>
      </c>
      <c r="D14" s="49" t="s">
        <v>36</v>
      </c>
      <c r="E14" s="50" t="s">
        <v>37</v>
      </c>
      <c r="F14" s="50" t="s">
        <v>38</v>
      </c>
      <c r="G14" s="49" t="s">
        <v>39</v>
      </c>
      <c r="H14" s="50"/>
      <c r="I14" s="51">
        <v>46055.4444444444</v>
      </c>
      <c r="J14" s="51">
        <v>46055.5208333333</v>
      </c>
      <c r="K14" s="52" t="str">
        <f ca="1" t="shared" si="0"/>
        <v>Completed</v>
      </c>
      <c r="L14" s="53">
        <v>1.83</v>
      </c>
      <c r="M14" s="53">
        <v>1.83</v>
      </c>
      <c r="N14" s="52">
        <f>IF(ISBLANK(L14),"",L14*VLOOKUP($F14,Internal!$B$26:$C$32,2,FALSE))</f>
        <v>0</v>
      </c>
      <c r="O14" s="52">
        <f>IF(ISBLANK(M14),"",M14*VLOOKUP($F14,Internal!$B$26:$C$32,2,FALSE))</f>
        <v>0</v>
      </c>
      <c r="P14" s="49" t="s">
        <v>42</v>
      </c>
    </row>
    <row r="15" ht="14.25" spans="2:16">
      <c r="B15" s="38">
        <v>5</v>
      </c>
      <c r="C15" s="48" t="str">
        <f>IF(ISBLANK(D15),"",_xlfn.CONCAT("T",TEXT(B15,"0000"),"/",VLOOKUP(D15,Internal!$B$35:C$39,2,FALSE),IF(OR(D15="QA",D15="Revision"),_xlfn.CONCAT("/",H15),"")))</f>
        <v>T0005/O</v>
      </c>
      <c r="D15" s="49" t="s">
        <v>36</v>
      </c>
      <c r="E15" s="50" t="s">
        <v>37</v>
      </c>
      <c r="F15" s="50" t="s">
        <v>38</v>
      </c>
      <c r="G15" s="49" t="s">
        <v>39</v>
      </c>
      <c r="H15" s="50"/>
      <c r="I15" s="51">
        <v>46058.3541666667</v>
      </c>
      <c r="J15" s="51">
        <v>46058.4444444444</v>
      </c>
      <c r="K15" s="52" t="str">
        <f ca="1" t="shared" si="0"/>
        <v>Completed</v>
      </c>
      <c r="L15" s="53">
        <v>1.83</v>
      </c>
      <c r="M15" s="53"/>
      <c r="N15" s="52">
        <f>IF(ISBLANK(L15),"",L15*VLOOKUP($F15,Internal!$B$26:$C$32,2,FALSE))</f>
        <v>0</v>
      </c>
      <c r="O15" s="52" t="str">
        <f>IF(ISBLANK(M15),"",M15*VLOOKUP($F15,Internal!$B$26:$C$32,2,FALSE))</f>
        <v/>
      </c>
      <c r="P15" s="49" t="s">
        <v>43</v>
      </c>
    </row>
    <row r="16" ht="14.25" spans="2:16">
      <c r="B16" s="38">
        <v>6</v>
      </c>
      <c r="C16" s="48" t="str">
        <f>IF(ISBLANK(D16),"",_xlfn.CONCAT("T",TEXT(B16,"0000"),"/",VLOOKUP(D16,Internal!$B$35:C$39,2,FALSE),IF(OR(D16="QA",D16="Revision"),_xlfn.CONCAT("/",H16),"")))</f>
        <v>T0006/O</v>
      </c>
      <c r="D16" s="49" t="s">
        <v>36</v>
      </c>
      <c r="E16" s="50" t="s">
        <v>37</v>
      </c>
      <c r="F16" s="50" t="s">
        <v>38</v>
      </c>
      <c r="G16" s="49" t="s">
        <v>39</v>
      </c>
      <c r="H16" s="50"/>
      <c r="I16" s="51">
        <v>46062.4444444444</v>
      </c>
      <c r="J16" s="51">
        <v>46062.5208333333</v>
      </c>
      <c r="K16" s="52" t="str">
        <f ca="1" t="shared" si="0"/>
        <v>Planned</v>
      </c>
      <c r="L16" s="53">
        <v>1.83</v>
      </c>
      <c r="M16" s="53"/>
      <c r="N16" s="52">
        <f>IF(ISBLANK(L16),"",L16*VLOOKUP($F16,Internal!$B$26:$C$32,2,FALSE))</f>
        <v>0</v>
      </c>
      <c r="O16" s="52" t="str">
        <f>IF(ISBLANK(M16),"",M16*VLOOKUP($F16,Internal!$B$26:$C$32,2,FALSE))</f>
        <v/>
      </c>
      <c r="P16" s="49" t="s">
        <v>44</v>
      </c>
    </row>
    <row r="17" ht="14.25" spans="2:16">
      <c r="B17" s="38">
        <v>7</v>
      </c>
      <c r="C17" s="48" t="str">
        <f>IF(ISBLANK(D17),"",_xlfn.CONCAT("T",TEXT(B17,"0000"),"/",VLOOKUP(D17,Internal!$B$35:C$39,2,FALSE),IF(OR(D17="QA",D17="Revision"),_xlfn.CONCAT("/",H17),"")))</f>
        <v>T0007/O</v>
      </c>
      <c r="D17" s="49" t="s">
        <v>36</v>
      </c>
      <c r="E17" s="50" t="s">
        <v>37</v>
      </c>
      <c r="F17" s="50" t="s">
        <v>38</v>
      </c>
      <c r="G17" s="49" t="s">
        <v>39</v>
      </c>
      <c r="H17" s="50"/>
      <c r="I17" s="51">
        <v>46065.3541666667</v>
      </c>
      <c r="J17" s="51">
        <v>46065.4444444444</v>
      </c>
      <c r="K17" s="52" t="str">
        <f ca="1" t="shared" si="0"/>
        <v>Planned</v>
      </c>
      <c r="L17" s="53">
        <v>1.83</v>
      </c>
      <c r="M17" s="53"/>
      <c r="N17" s="52">
        <f>IF(ISBLANK(L17),"",L17*VLOOKUP($F17,Internal!$B$26:$C$32,2,FALSE))</f>
        <v>0</v>
      </c>
      <c r="O17" s="52" t="str">
        <f>IF(ISBLANK(M17),"",M17*VLOOKUP($F17,Internal!$B$26:$C$32,2,FALSE))</f>
        <v/>
      </c>
      <c r="P17" s="49" t="s">
        <v>45</v>
      </c>
    </row>
    <row r="18" ht="14.25" spans="2:16">
      <c r="B18" s="38">
        <v>8</v>
      </c>
      <c r="C18" s="48" t="str">
        <f>IF(ISBLANK(D18),"",_xlfn.CONCAT("T",TEXT(B18,"0000"),"/",VLOOKUP(D18,Internal!$B$35:C$39,2,FALSE),IF(OR(D18="QA",D18="Revision"),_xlfn.CONCAT("/",H18),"")))</f>
        <v>T0008/O</v>
      </c>
      <c r="D18" s="49" t="s">
        <v>36</v>
      </c>
      <c r="E18" s="50" t="s">
        <v>37</v>
      </c>
      <c r="F18" s="50" t="s">
        <v>38</v>
      </c>
      <c r="G18" s="49" t="s">
        <v>39</v>
      </c>
      <c r="H18" s="50"/>
      <c r="I18" s="51">
        <v>46069.4444444444</v>
      </c>
      <c r="J18" s="51">
        <v>46069.5208333333</v>
      </c>
      <c r="K18" s="52" t="str">
        <f ca="1" t="shared" si="0"/>
        <v>Planned</v>
      </c>
      <c r="L18" s="53">
        <v>1.83</v>
      </c>
      <c r="M18" s="53"/>
      <c r="N18" s="52">
        <f>IF(ISBLANK(L18),"",L18*VLOOKUP($F18,Internal!$B$26:$C$32,2,FALSE))</f>
        <v>0</v>
      </c>
      <c r="O18" s="52" t="str">
        <f>IF(ISBLANK(M18),"",M18*VLOOKUP($F18,Internal!$B$26:$C$32,2,FALSE))</f>
        <v/>
      </c>
      <c r="P18" s="49" t="s">
        <v>44</v>
      </c>
    </row>
    <row r="19" ht="14.25" spans="2:16">
      <c r="B19" s="38">
        <v>9</v>
      </c>
      <c r="C19" s="48" t="str">
        <f>IF(ISBLANK(D19),"",_xlfn.CONCAT("T",TEXT(B19,"0000"),"/",VLOOKUP(D19,Internal!$B$35:C$39,2,FALSE),IF(OR(D19="QA",D19="Revision"),_xlfn.CONCAT("/",H19),"")))</f>
        <v>T0009/O</v>
      </c>
      <c r="D19" s="49" t="s">
        <v>36</v>
      </c>
      <c r="E19" s="50" t="s">
        <v>37</v>
      </c>
      <c r="F19" s="50" t="s">
        <v>38</v>
      </c>
      <c r="G19" s="49" t="s">
        <v>39</v>
      </c>
      <c r="H19" s="50"/>
      <c r="I19" s="51">
        <v>46072.3541666667</v>
      </c>
      <c r="J19" s="51">
        <v>46072.4444444444</v>
      </c>
      <c r="K19" s="52" t="str">
        <f ca="1" t="shared" si="0"/>
        <v>Planned</v>
      </c>
      <c r="L19" s="53">
        <v>1.83</v>
      </c>
      <c r="M19" s="53"/>
      <c r="N19" s="52">
        <f>IF(ISBLANK(L19),"",L19*VLOOKUP($F19,Internal!$B$26:$C$32,2,FALSE))</f>
        <v>0</v>
      </c>
      <c r="O19" s="52" t="str">
        <f>IF(ISBLANK(M19),"",M19*VLOOKUP($F19,Internal!$B$26:$C$32,2,FALSE))</f>
        <v/>
      </c>
      <c r="P19" s="49" t="s">
        <v>46</v>
      </c>
    </row>
    <row r="20" ht="14.25" spans="2:16">
      <c r="B20" s="38">
        <v>10</v>
      </c>
      <c r="C20" s="48" t="str">
        <f>IF(ISBLANK(D20),"",_xlfn.CONCAT("T",TEXT(B20,"0000"),"/",VLOOKUP(D20,Internal!$B$35:C$39,2,FALSE),IF(OR(D20="QA",D20="Revision"),_xlfn.CONCAT("/",H20),"")))</f>
        <v>T0010/O</v>
      </c>
      <c r="D20" s="49" t="s">
        <v>36</v>
      </c>
      <c r="E20" s="50" t="s">
        <v>37</v>
      </c>
      <c r="F20" s="50" t="s">
        <v>38</v>
      </c>
      <c r="G20" s="49" t="s">
        <v>39</v>
      </c>
      <c r="H20" s="50"/>
      <c r="I20" s="51">
        <v>46076.4444444444</v>
      </c>
      <c r="J20" s="51">
        <v>46076.5208333333</v>
      </c>
      <c r="K20" s="52" t="str">
        <f ca="1" t="shared" si="0"/>
        <v>Planned</v>
      </c>
      <c r="L20" s="53">
        <v>1.83</v>
      </c>
      <c r="M20" s="53"/>
      <c r="N20" s="52">
        <f>IF(ISBLANK(L20),"",L20*VLOOKUP($F20,Internal!$B$26:$C$32,2,FALSE))</f>
        <v>0</v>
      </c>
      <c r="O20" s="52" t="str">
        <f>IF(ISBLANK(M20),"",M20*VLOOKUP($F20,Internal!$B$26:$C$32,2,FALSE))</f>
        <v/>
      </c>
      <c r="P20" s="49" t="s">
        <v>44</v>
      </c>
    </row>
    <row r="21" ht="14.25" spans="2:16">
      <c r="B21" s="38">
        <v>11</v>
      </c>
      <c r="C21" s="48" t="str">
        <f>IF(ISBLANK(D21),"",_xlfn.CONCAT("T",TEXT(B21,"0000"),"/",VLOOKUP(D21,Internal!$B$35:C$39,2,FALSE),IF(OR(D21="QA",D21="Revision"),_xlfn.CONCAT("/",H21),"")))</f>
        <v>T0011/O</v>
      </c>
      <c r="D21" s="49" t="s">
        <v>36</v>
      </c>
      <c r="E21" s="50" t="s">
        <v>37</v>
      </c>
      <c r="F21" s="50" t="s">
        <v>38</v>
      </c>
      <c r="G21" s="49" t="s">
        <v>39</v>
      </c>
      <c r="H21" s="50"/>
      <c r="I21" s="51">
        <v>46079.3541666667</v>
      </c>
      <c r="J21" s="51">
        <v>46079.4444444444</v>
      </c>
      <c r="K21" s="52" t="str">
        <f ca="1" t="shared" si="0"/>
        <v>Planned</v>
      </c>
      <c r="L21" s="53">
        <v>1.83</v>
      </c>
      <c r="M21" s="53"/>
      <c r="N21" s="52">
        <f>IF(ISBLANK(L21),"",L21*VLOOKUP($F21,Internal!$B$26:$C$32,2,FALSE))</f>
        <v>0</v>
      </c>
      <c r="O21" s="52" t="str">
        <f>IF(ISBLANK(M21),"",M21*VLOOKUP($F21,Internal!$B$26:$C$32,2,FALSE))</f>
        <v/>
      </c>
      <c r="P21" s="49" t="s">
        <v>47</v>
      </c>
    </row>
    <row r="22" ht="14.25" spans="2:16">
      <c r="B22" s="38">
        <v>12</v>
      </c>
      <c r="C22" s="48" t="str">
        <f>IF(ISBLANK(D22),"",_xlfn.CONCAT("T",TEXT(B22,"0000"),"/",VLOOKUP(D22,Internal!$B$35:C$39,2,FALSE),IF(OR(D22="QA",D22="Revision"),_xlfn.CONCAT("/",H22),"")))</f>
        <v>T0012/O</v>
      </c>
      <c r="D22" s="49" t="s">
        <v>36</v>
      </c>
      <c r="E22" s="50" t="s">
        <v>37</v>
      </c>
      <c r="F22" s="50" t="s">
        <v>38</v>
      </c>
      <c r="G22" s="49" t="s">
        <v>39</v>
      </c>
      <c r="H22" s="50"/>
      <c r="I22" s="51">
        <v>46083.4444444444</v>
      </c>
      <c r="J22" s="51">
        <v>46083.5208333333</v>
      </c>
      <c r="K22" s="52" t="str">
        <f ca="1" t="shared" si="0"/>
        <v>Planned</v>
      </c>
      <c r="L22" s="53">
        <v>1.83</v>
      </c>
      <c r="M22" s="53"/>
      <c r="N22" s="52">
        <f>IF(ISBLANK(L22),"",L22*VLOOKUP($F22,Internal!$B$26:$C$32,2,FALSE))</f>
        <v>0</v>
      </c>
      <c r="O22" s="52" t="str">
        <f>IF(ISBLANK(M22),"",M22*VLOOKUP($F22,Internal!$B$26:$C$32,2,FALSE))</f>
        <v/>
      </c>
      <c r="P22" s="49" t="s">
        <v>48</v>
      </c>
    </row>
    <row r="23" ht="14.25" spans="2:16">
      <c r="B23" s="38">
        <v>13</v>
      </c>
      <c r="C23" s="48" t="str">
        <f>IF(ISBLANK(D23),"",_xlfn.CONCAT("T",TEXT(B23,"0000"),"/",VLOOKUP(D23,Internal!$B$35:C$39,2,FALSE),IF(OR(D23="QA",D23="Revision"),_xlfn.CONCAT("/",H23),"")))</f>
        <v>T0013/O</v>
      </c>
      <c r="D23" s="49" t="s">
        <v>36</v>
      </c>
      <c r="E23" s="50" t="s">
        <v>37</v>
      </c>
      <c r="F23" s="50" t="s">
        <v>38</v>
      </c>
      <c r="G23" s="49" t="s">
        <v>39</v>
      </c>
      <c r="H23" s="50"/>
      <c r="I23" s="51">
        <v>46086.3541666667</v>
      </c>
      <c r="J23" s="51">
        <v>46086.4444444444</v>
      </c>
      <c r="K23" s="52" t="str">
        <f ca="1" t="shared" si="0"/>
        <v>Planned</v>
      </c>
      <c r="L23" s="53">
        <v>1.83</v>
      </c>
      <c r="M23" s="53"/>
      <c r="N23" s="52">
        <f>IF(ISBLANK(L23),"",L23*VLOOKUP($F23,Internal!$B$26:$C$32,2,FALSE))</f>
        <v>0</v>
      </c>
      <c r="O23" s="52" t="str">
        <f>IF(ISBLANK(M23),"",M23*VLOOKUP($F23,Internal!$B$26:$C$32,2,FALSE))</f>
        <v/>
      </c>
      <c r="P23" s="49" t="s">
        <v>49</v>
      </c>
    </row>
    <row r="24" ht="14.25" spans="2:16">
      <c r="B24" s="38">
        <v>14</v>
      </c>
      <c r="C24" s="48" t="str">
        <f>IF(ISBLANK(D24),"",_xlfn.CONCAT("T",TEXT(B24,"0000"),"/",VLOOKUP(D24,Internal!$B$35:C$39,2,FALSE),IF(OR(D24="QA",D24="Revision"),_xlfn.CONCAT("/",H24),"")))</f>
        <v>T0014/O</v>
      </c>
      <c r="D24" s="49" t="s">
        <v>36</v>
      </c>
      <c r="E24" s="50" t="s">
        <v>37</v>
      </c>
      <c r="F24" s="50" t="s">
        <v>38</v>
      </c>
      <c r="G24" s="49" t="s">
        <v>39</v>
      </c>
      <c r="H24" s="50"/>
      <c r="I24" s="51">
        <v>46090.4444444444</v>
      </c>
      <c r="J24" s="51">
        <v>46090.5208333333</v>
      </c>
      <c r="K24" s="52" t="str">
        <f ca="1" t="shared" si="0"/>
        <v>Planned</v>
      </c>
      <c r="L24" s="53">
        <v>1.83</v>
      </c>
      <c r="M24" s="53"/>
      <c r="N24" s="52">
        <f>IF(ISBLANK(L24),"",L24*VLOOKUP($F24,Internal!$B$26:$C$32,2,FALSE))</f>
        <v>0</v>
      </c>
      <c r="O24" s="52" t="str">
        <f>IF(ISBLANK(M24),"",M24*VLOOKUP($F24,Internal!$B$26:$C$32,2,FALSE))</f>
        <v/>
      </c>
      <c r="P24" s="49" t="s">
        <v>44</v>
      </c>
    </row>
    <row r="25" ht="14.25" spans="2:16">
      <c r="B25" s="38">
        <v>15</v>
      </c>
      <c r="C25" s="48" t="str">
        <f>IF(ISBLANK(D25),"",_xlfn.CONCAT("T",TEXT(B25,"0000"),"/",VLOOKUP(D25,Internal!$B$35:C$39,2,FALSE),IF(OR(D25="QA",D25="Revision"),_xlfn.CONCAT("/",H25),"")))</f>
        <v>T0015/O</v>
      </c>
      <c r="D25" s="49" t="s">
        <v>36</v>
      </c>
      <c r="E25" s="50" t="s">
        <v>37</v>
      </c>
      <c r="F25" s="50" t="s">
        <v>38</v>
      </c>
      <c r="G25" s="49" t="s">
        <v>39</v>
      </c>
      <c r="H25" s="50"/>
      <c r="I25" s="51">
        <v>46093.3541666667</v>
      </c>
      <c r="J25" s="51">
        <v>46093.4444444444</v>
      </c>
      <c r="K25" s="52" t="str">
        <f ca="1" t="shared" si="0"/>
        <v>Planned</v>
      </c>
      <c r="L25" s="53">
        <v>1.83</v>
      </c>
      <c r="M25" s="53"/>
      <c r="N25" s="52">
        <f>IF(ISBLANK(L25),"",L25*VLOOKUP($F25,Internal!$B$26:$C$32,2,FALSE))</f>
        <v>0</v>
      </c>
      <c r="O25" s="52" t="str">
        <f>IF(ISBLANK(M25),"",M25*VLOOKUP($F25,Internal!$B$26:$C$32,2,FALSE))</f>
        <v/>
      </c>
      <c r="P25" s="49" t="s">
        <v>50</v>
      </c>
    </row>
    <row r="26" ht="14.25" spans="2:16">
      <c r="B26" s="38">
        <v>16</v>
      </c>
      <c r="C26" s="48" t="str">
        <f>IF(ISBLANK(D26),"",_xlfn.CONCAT("T",TEXT(B26,"0000"),"/",VLOOKUP(D26,Internal!$B$35:C$39,2,FALSE),IF(OR(D26="QA",D26="Revision"),_xlfn.CONCAT("/",H26),"")))</f>
        <v>T0016/O</v>
      </c>
      <c r="D26" s="49" t="s">
        <v>36</v>
      </c>
      <c r="E26" s="50" t="s">
        <v>37</v>
      </c>
      <c r="F26" s="50" t="s">
        <v>38</v>
      </c>
      <c r="G26" s="49" t="s">
        <v>39</v>
      </c>
      <c r="H26" s="50"/>
      <c r="I26" s="51">
        <v>46097.4444444444</v>
      </c>
      <c r="J26" s="51">
        <v>46097.5208333333</v>
      </c>
      <c r="K26" s="52" t="str">
        <f ca="1" t="shared" si="0"/>
        <v>Planned</v>
      </c>
      <c r="L26" s="53">
        <v>1.83</v>
      </c>
      <c r="M26" s="53"/>
      <c r="N26" s="52">
        <f>IF(ISBLANK(L26),"",L26*VLOOKUP($F26,Internal!$B$26:$C$32,2,FALSE))</f>
        <v>0</v>
      </c>
      <c r="O26" s="52" t="str">
        <f>IF(ISBLANK(M26),"",M26*VLOOKUP($F26,Internal!$B$26:$C$32,2,FALSE))</f>
        <v/>
      </c>
      <c r="P26" s="49" t="s">
        <v>44</v>
      </c>
    </row>
    <row r="27" ht="14.25" spans="2:16">
      <c r="B27" s="38">
        <v>17</v>
      </c>
      <c r="C27" s="48" t="str">
        <f>IF(ISBLANK(D27),"",_xlfn.CONCAT("T",TEXT(B27,"0000"),"/",VLOOKUP(D27,Internal!$B$35:C$39,2,FALSE),IF(OR(D27="QA",D27="Revision"),_xlfn.CONCAT("/",H27),"")))</f>
        <v>T0017/O</v>
      </c>
      <c r="D27" s="49" t="s">
        <v>36</v>
      </c>
      <c r="E27" s="50" t="s">
        <v>37</v>
      </c>
      <c r="F27" s="50" t="s">
        <v>38</v>
      </c>
      <c r="G27" s="49" t="s">
        <v>39</v>
      </c>
      <c r="H27" s="50"/>
      <c r="I27" s="51">
        <v>46100.3541666667</v>
      </c>
      <c r="J27" s="51">
        <v>46100.4444444444</v>
      </c>
      <c r="K27" s="52" t="str">
        <f ca="1" t="shared" si="0"/>
        <v>Planned</v>
      </c>
      <c r="L27" s="53">
        <v>1.83</v>
      </c>
      <c r="M27" s="53"/>
      <c r="N27" s="52">
        <f>IF(ISBLANK(L27),"",L27*VLOOKUP($F27,Internal!$B$26:$C$32,2,FALSE))</f>
        <v>0</v>
      </c>
      <c r="O27" s="52" t="str">
        <f>IF(ISBLANK(M27),"",M27*VLOOKUP($F27,Internal!$B$26:$C$32,2,FALSE))</f>
        <v/>
      </c>
      <c r="P27" s="49" t="s">
        <v>51</v>
      </c>
    </row>
    <row r="28" ht="14.25" spans="2:16">
      <c r="B28" s="38">
        <v>18</v>
      </c>
      <c r="C28" s="48" t="str">
        <f>IF(ISBLANK(D28),"",_xlfn.CONCAT("T",TEXT(B28,"0000"),"/",VLOOKUP(D28,Internal!$B$35:C$39,2,FALSE),IF(OR(D28="QA",D28="Revision"),_xlfn.CONCAT("/",H28),"")))</f>
        <v>T0018/O</v>
      </c>
      <c r="D28" s="49" t="s">
        <v>36</v>
      </c>
      <c r="E28" s="50" t="s">
        <v>37</v>
      </c>
      <c r="F28" s="50" t="s">
        <v>38</v>
      </c>
      <c r="G28" s="49" t="s">
        <v>39</v>
      </c>
      <c r="H28" s="50"/>
      <c r="I28" s="51">
        <v>46104.4444444444</v>
      </c>
      <c r="J28" s="51">
        <v>46104.5208333333</v>
      </c>
      <c r="K28" s="52" t="str">
        <f ca="1" t="shared" si="0"/>
        <v>Planned</v>
      </c>
      <c r="L28" s="53">
        <v>1.83</v>
      </c>
      <c r="M28" s="53"/>
      <c r="N28" s="52">
        <f>IF(ISBLANK(L28),"",L28*VLOOKUP($F28,Internal!$B$26:$C$32,2,FALSE))</f>
        <v>0</v>
      </c>
      <c r="O28" s="52" t="str">
        <f>IF(ISBLANK(M28),"",M28*VLOOKUP($F28,Internal!$B$26:$C$32,2,FALSE))</f>
        <v/>
      </c>
      <c r="P28" s="49" t="s">
        <v>52</v>
      </c>
    </row>
    <row r="29" ht="14.25" spans="2:16">
      <c r="B29" s="38">
        <v>19</v>
      </c>
      <c r="C29" s="48" t="str">
        <f>IF(ISBLANK(D29),"",_xlfn.CONCAT("T",TEXT(B29,"0000"),"/",VLOOKUP(D29,Internal!$B$35:C$39,2,FALSE),IF(OR(D29="QA",D29="Revision"),_xlfn.CONCAT("/",H29),"")))</f>
        <v>T0019/O</v>
      </c>
      <c r="D29" s="49" t="s">
        <v>36</v>
      </c>
      <c r="E29" s="50" t="s">
        <v>37</v>
      </c>
      <c r="F29" s="50" t="s">
        <v>38</v>
      </c>
      <c r="G29" s="49" t="s">
        <v>39</v>
      </c>
      <c r="H29" s="50"/>
      <c r="I29" s="51">
        <v>46107.3541666667</v>
      </c>
      <c r="J29" s="51">
        <v>46107.4444444444</v>
      </c>
      <c r="K29" s="52" t="str">
        <f ca="1" t="shared" si="0"/>
        <v>Planned</v>
      </c>
      <c r="L29" s="53">
        <v>1.83</v>
      </c>
      <c r="M29" s="53"/>
      <c r="N29" s="52">
        <f>IF(ISBLANK(L29),"",L29*VLOOKUP($F29,Internal!$B$26:$C$32,2,FALSE))</f>
        <v>0</v>
      </c>
      <c r="O29" s="52" t="str">
        <f>IF(ISBLANK(M29),"",M29*VLOOKUP($F29,Internal!$B$26:$C$32,2,FALSE))</f>
        <v/>
      </c>
      <c r="P29" s="49" t="s">
        <v>52</v>
      </c>
    </row>
    <row r="30" ht="14.25" spans="2:16">
      <c r="B30" s="38">
        <v>20</v>
      </c>
      <c r="C30" s="39" t="str">
        <f>IF(ISBLANK(D30),"",_xlfn.CONCAT("T",TEXT(B30,"0000"),"/",VLOOKUP(D30,Internal!$B$35:C$39,2,FALSE),IF(OR(D30="QA",D30="Revision"),_xlfn.CONCAT("/",H30),"")))</f>
        <v>T0020/M</v>
      </c>
      <c r="D30" s="40" t="s">
        <v>30</v>
      </c>
      <c r="E30" s="41" t="s">
        <v>31</v>
      </c>
      <c r="F30" s="41" t="s">
        <v>32</v>
      </c>
      <c r="G30" s="40" t="s">
        <v>53</v>
      </c>
      <c r="H30" s="41"/>
      <c r="I30" s="45">
        <v>46059.7083333333</v>
      </c>
      <c r="J30" s="45">
        <v>46059.75</v>
      </c>
      <c r="K30" s="46" t="str">
        <f ca="1" t="shared" ref="K12:K86" si="1">IF(OR(I30="",J30=""),"",IF(AND(J30&lt;&gt;"",I30&gt;=NOW()),"Planned",IF(AND(J30&lt;&gt;"",J30&lt;NOW()),"Completed","Ongoing")))</f>
        <v>Ongoing</v>
      </c>
      <c r="L30" s="47">
        <v>0.15</v>
      </c>
      <c r="M30" s="47"/>
      <c r="N30" s="46">
        <f>IF(ISBLANK(L30),"",L30*VLOOKUP($F30,Internal!$B$26:$C$32,2,FALSE))</f>
        <v>7.5</v>
      </c>
      <c r="O30" s="46" t="str">
        <f>IF(ISBLANK(M30),"",M30*VLOOKUP($F30,Internal!$B$26:$C$32,2,FALSE))</f>
        <v/>
      </c>
      <c r="P30" s="40" t="s">
        <v>54</v>
      </c>
    </row>
    <row r="31" ht="14.25" spans="2:16">
      <c r="B31" s="38">
        <v>21</v>
      </c>
      <c r="C31" s="39" t="str">
        <f>IF(ISBLANK(D31),"",_xlfn.CONCAT("T",TEXT(B31,"0000"),"/",VLOOKUP(D31,Internal!$B$35:C$39,2,FALSE),IF(OR(D31="QA",D31="Revision"),_xlfn.CONCAT("/",H31),"")))</f>
        <v>T0021/M</v>
      </c>
      <c r="D31" s="49" t="s">
        <v>30</v>
      </c>
      <c r="E31" s="50" t="s">
        <v>31</v>
      </c>
      <c r="F31" s="50" t="s">
        <v>32</v>
      </c>
      <c r="G31" s="49" t="s">
        <v>55</v>
      </c>
      <c r="H31" s="50"/>
      <c r="I31" s="51">
        <v>46059.7916666667</v>
      </c>
      <c r="J31" s="51">
        <v>46059.8333333333</v>
      </c>
      <c r="K31" s="52" t="str">
        <f ca="1" t="shared" si="1"/>
        <v>Planned</v>
      </c>
      <c r="L31" s="53">
        <v>0.5</v>
      </c>
      <c r="M31" s="53"/>
      <c r="N31" s="52">
        <f>IF(ISBLANK(L31),"",L31*VLOOKUP($F31,Internal!$B$26:$C$32,2,FALSE))</f>
        <v>25</v>
      </c>
      <c r="O31" s="52" t="str">
        <f>IF(ISBLANK(M31),"",M31*VLOOKUP($F31,Internal!$B$26:$C$32,2,FALSE))</f>
        <v/>
      </c>
      <c r="P31" s="49" t="s">
        <v>56</v>
      </c>
    </row>
    <row r="32" ht="14.25" spans="2:16">
      <c r="B32" s="38">
        <v>22</v>
      </c>
      <c r="C32" s="39" t="str">
        <f>IF(ISBLANK(D32),"",_xlfn.CONCAT("T",TEXT(B32,"0000"),"/",VLOOKUP(D32,Internal!$B$35:C$39,2,FALSE),IF(OR(D32="QA",D32="Revision"),_xlfn.CONCAT("/",H32),"")))</f>
        <v>T0022/M</v>
      </c>
      <c r="D32" s="49" t="s">
        <v>30</v>
      </c>
      <c r="E32" s="50" t="s">
        <v>31</v>
      </c>
      <c r="F32" s="50" t="s">
        <v>32</v>
      </c>
      <c r="G32" s="49" t="s">
        <v>57</v>
      </c>
      <c r="H32" s="50"/>
      <c r="I32" s="51">
        <v>46060.5833333333</v>
      </c>
      <c r="J32" s="51">
        <v>46088.625</v>
      </c>
      <c r="K32" s="52" t="str">
        <f ca="1" t="shared" si="1"/>
        <v>Planned</v>
      </c>
      <c r="L32" s="53">
        <v>0.5</v>
      </c>
      <c r="M32" s="53"/>
      <c r="N32" s="52">
        <f>IF(ISBLANK(L32),"",L32*VLOOKUP($F32,Internal!$B$26:$C$32,2,FALSE))</f>
        <v>25</v>
      </c>
      <c r="O32" s="52" t="str">
        <f>IF(ISBLANK(M32),"",M32*VLOOKUP($F32,Internal!$B$26:$C$32,2,FALSE))</f>
        <v/>
      </c>
      <c r="P32" s="49" t="s">
        <v>58</v>
      </c>
    </row>
    <row r="33" ht="14.25" spans="2:16">
      <c r="B33" s="38">
        <v>23</v>
      </c>
      <c r="C33" s="39" t="str">
        <f>IF(ISBLANK(D33),"",_xlfn.CONCAT("T",TEXT(B33,"0000"),"/",VLOOKUP(D33,Internal!$B$35:C$39,2,FALSE),IF(OR(D33="QA",D33="Revision"),_xlfn.CONCAT("/",H33),"")))</f>
        <v>T0023/D</v>
      </c>
      <c r="D33" s="49" t="s">
        <v>59</v>
      </c>
      <c r="E33" s="50" t="s">
        <v>60</v>
      </c>
      <c r="F33" s="50" t="s">
        <v>61</v>
      </c>
      <c r="G33" s="49" t="s">
        <v>62</v>
      </c>
      <c r="H33" s="50"/>
      <c r="I33" s="51">
        <v>46060.4166666667</v>
      </c>
      <c r="J33" s="51">
        <v>46061.8333333333</v>
      </c>
      <c r="K33" s="52" t="str">
        <f ca="1" t="shared" si="1"/>
        <v>Planned</v>
      </c>
      <c r="L33" s="53">
        <v>1</v>
      </c>
      <c r="M33" s="53"/>
      <c r="N33" s="52">
        <f>IF(ISBLANK(L33),"",L33*VLOOKUP($F33,Internal!$B$26:$C$32,2,FALSE))</f>
        <v>25</v>
      </c>
      <c r="O33" s="52" t="str">
        <f>IF(ISBLANK(M33),"",M33*VLOOKUP($F33,Internal!$B$26:$C$32,2,FALSE))</f>
        <v/>
      </c>
      <c r="P33" s="49" t="s">
        <v>63</v>
      </c>
    </row>
    <row r="34" ht="14.25" spans="2:16">
      <c r="B34" s="38">
        <v>24</v>
      </c>
      <c r="C34" s="39" t="str">
        <f>IF(ISBLANK(D34),"",_xlfn.CONCAT("T",TEXT(B34,"0000"),"/",VLOOKUP(D34,Internal!$B$35:C$39,2,FALSE),IF(OR(D34="QA",D34="Revision"),_xlfn.CONCAT("/",H34),"")))</f>
        <v>T0024/M</v>
      </c>
      <c r="D34" s="49" t="s">
        <v>30</v>
      </c>
      <c r="E34" s="50" t="s">
        <v>31</v>
      </c>
      <c r="F34" s="50" t="s">
        <v>32</v>
      </c>
      <c r="G34" s="49" t="s">
        <v>64</v>
      </c>
      <c r="H34" s="50"/>
      <c r="I34" s="51">
        <v>46060.4166666667</v>
      </c>
      <c r="J34" s="51">
        <v>46061.8333333333</v>
      </c>
      <c r="K34" s="52" t="str">
        <f ca="1" t="shared" si="1"/>
        <v>Planned</v>
      </c>
      <c r="L34" s="53">
        <v>0.1</v>
      </c>
      <c r="M34" s="53"/>
      <c r="N34" s="52">
        <f>IF(ISBLANK(L34),"",L34*VLOOKUP($F34,Internal!$B$26:$C$32,2,FALSE))</f>
        <v>5</v>
      </c>
      <c r="O34" s="52" t="str">
        <f>IF(ISBLANK(M34),"",M34*VLOOKUP($F34,Internal!$B$26:$C$32,2,FALSE))</f>
        <v/>
      </c>
      <c r="P34" s="49" t="s">
        <v>65</v>
      </c>
    </row>
    <row r="35" ht="14.25" spans="2:16">
      <c r="B35" s="38">
        <v>25</v>
      </c>
      <c r="C35" s="39" t="str">
        <f>IF(ISBLANK(D35),"",_xlfn.CONCAT("T",TEXT(B35,"0000"),"/",VLOOKUP(D35,Internal!$B$35:C$39,2,FALSE),IF(OR(D35="QA",D35="Revision"),_xlfn.CONCAT("/",H35),"")))</f>
        <v>T0025/D</v>
      </c>
      <c r="D35" s="40" t="s">
        <v>59</v>
      </c>
      <c r="E35" s="41" t="s">
        <v>66</v>
      </c>
      <c r="F35" s="41" t="s">
        <v>61</v>
      </c>
      <c r="G35" s="40" t="s">
        <v>67</v>
      </c>
      <c r="H35" s="41"/>
      <c r="I35" s="45">
        <v>46060.4166666667</v>
      </c>
      <c r="J35" s="45">
        <v>46061.8333333333</v>
      </c>
      <c r="K35" s="46" t="str">
        <f ca="1" t="shared" si="1"/>
        <v>Planned</v>
      </c>
      <c r="L35" s="47">
        <v>0.5</v>
      </c>
      <c r="M35" s="47"/>
      <c r="N35" s="46">
        <f>IF(ISBLANK(L35),"",L35*VLOOKUP($F35,Internal!$B$26:$C$32,2,FALSE))</f>
        <v>12.5</v>
      </c>
      <c r="O35" s="46" t="str">
        <f>IF(ISBLANK(M35),"",M35*VLOOKUP($F35,Internal!$B$26:$C$32,2,FALSE))</f>
        <v/>
      </c>
      <c r="P35" s="40" t="s">
        <v>68</v>
      </c>
    </row>
    <row r="36" ht="14.25" spans="2:16">
      <c r="B36" s="38">
        <v>26</v>
      </c>
      <c r="C36" s="39" t="str">
        <f>IF(ISBLANK(D36),"",_xlfn.CONCAT("T",TEXT(B36,"0000"),"/",VLOOKUP(D36,Internal!$B$35:C$39,2,FALSE),IF(OR(D36="QA",D36="Revision"),_xlfn.CONCAT("/",H36),"")))</f>
        <v>T0026/M</v>
      </c>
      <c r="D36" s="40" t="s">
        <v>30</v>
      </c>
      <c r="E36" s="41" t="s">
        <v>31</v>
      </c>
      <c r="F36" s="41" t="s">
        <v>32</v>
      </c>
      <c r="G36" s="40" t="s">
        <v>64</v>
      </c>
      <c r="H36" s="41"/>
      <c r="I36" s="45">
        <v>46060.4166666667</v>
      </c>
      <c r="J36" s="45">
        <v>46061.8333333333</v>
      </c>
      <c r="K36" s="46" t="str">
        <f ca="1" t="shared" si="1"/>
        <v>Planned</v>
      </c>
      <c r="L36" s="47">
        <v>0.1</v>
      </c>
      <c r="M36" s="47"/>
      <c r="N36" s="46">
        <f>IF(ISBLANK(L36),"",L36*VLOOKUP($F36,Internal!$B$26:$C$32,2,FALSE))</f>
        <v>5</v>
      </c>
      <c r="O36" s="46" t="str">
        <f>IF(ISBLANK(M36),"",M36*VLOOKUP($F36,Internal!$B$26:$C$32,2,FALSE))</f>
        <v/>
      </c>
      <c r="P36" s="40" t="s">
        <v>69</v>
      </c>
    </row>
    <row r="37" ht="14.25" spans="2:16">
      <c r="B37" s="38">
        <v>27</v>
      </c>
      <c r="C37" s="39" t="str">
        <f>IF(ISBLANK(D37),"",_xlfn.CONCAT("T",TEXT(B37,"0000"),"/",VLOOKUP(D37,Internal!$B$35:C$39,2,FALSE),IF(OR(D37="QA",D37="Revision"),_xlfn.CONCAT("/",H37),"")))</f>
        <v>T0027/D</v>
      </c>
      <c r="D37" s="40" t="s">
        <v>59</v>
      </c>
      <c r="E37" s="41" t="s">
        <v>70</v>
      </c>
      <c r="F37" s="41" t="s">
        <v>61</v>
      </c>
      <c r="G37" s="40" t="s">
        <v>67</v>
      </c>
      <c r="H37" s="41"/>
      <c r="I37" s="45">
        <v>46060.4166666667</v>
      </c>
      <c r="J37" s="45">
        <v>46061.8333333333</v>
      </c>
      <c r="K37" s="46" t="str">
        <f ca="1" t="shared" si="1"/>
        <v>Planned</v>
      </c>
      <c r="L37" s="47">
        <v>2</v>
      </c>
      <c r="M37" s="47"/>
      <c r="N37" s="46">
        <f>IF(ISBLANK(L37),"",L37*VLOOKUP($F37,Internal!$B$26:$C$32,2,FALSE))</f>
        <v>50</v>
      </c>
      <c r="O37" s="46" t="str">
        <f>IF(ISBLANK(M37),"",M37*VLOOKUP($F37,Internal!$B$26:$C$32,2,FALSE))</f>
        <v/>
      </c>
      <c r="P37" s="40" t="s">
        <v>71</v>
      </c>
    </row>
    <row r="38" ht="14.25" spans="2:16">
      <c r="B38" s="38">
        <v>28</v>
      </c>
      <c r="C38" s="39" t="str">
        <f>IF(ISBLANK(D38),"",_xlfn.CONCAT("T",TEXT(B38,"0000"),"/",VLOOKUP(D38,Internal!$B$35:C$39,2,FALSE),IF(OR(D38="QA",D38="Revision"),_xlfn.CONCAT("/",H38),"")))</f>
        <v>T0028/M</v>
      </c>
      <c r="D38" s="40" t="s">
        <v>30</v>
      </c>
      <c r="E38" s="41" t="s">
        <v>31</v>
      </c>
      <c r="F38" s="41" t="s">
        <v>32</v>
      </c>
      <c r="G38" s="40" t="s">
        <v>64</v>
      </c>
      <c r="H38" s="41"/>
      <c r="I38" s="45">
        <v>46060.4166666667</v>
      </c>
      <c r="J38" s="45">
        <v>46061.8333333333</v>
      </c>
      <c r="K38" s="46" t="str">
        <f ca="1" t="shared" si="1"/>
        <v>Planned</v>
      </c>
      <c r="L38" s="47">
        <v>0.1</v>
      </c>
      <c r="M38" s="47"/>
      <c r="N38" s="46">
        <f>IF(ISBLANK(L38),"",L38*VLOOKUP($F38,Internal!$B$26:$C$32,2,FALSE))</f>
        <v>5</v>
      </c>
      <c r="O38" s="46" t="str">
        <f>IF(ISBLANK(M38),"",M38*VLOOKUP($F38,Internal!$B$26:$C$32,2,FALSE))</f>
        <v/>
      </c>
      <c r="P38" s="40" t="s">
        <v>72</v>
      </c>
    </row>
    <row r="39" ht="14.25" spans="2:16">
      <c r="B39" s="38">
        <v>29</v>
      </c>
      <c r="C39" s="39" t="str">
        <f>IF(ISBLANK(D39),"",_xlfn.CONCAT("T",TEXT(B39,"0000"),"/",VLOOKUP(D39,Internal!$B$35:C$39,2,FALSE),IF(OR(D39="QA",D39="Revision"),_xlfn.CONCAT("/",H39),"")))</f>
        <v>T0029/D</v>
      </c>
      <c r="D39" s="40" t="s">
        <v>59</v>
      </c>
      <c r="E39" s="41" t="s">
        <v>31</v>
      </c>
      <c r="F39" s="41" t="s">
        <v>61</v>
      </c>
      <c r="G39" s="40" t="s">
        <v>67</v>
      </c>
      <c r="H39" s="41"/>
      <c r="I39" s="45">
        <v>46061.8333333333</v>
      </c>
      <c r="J39" s="45">
        <v>46068.8333333333</v>
      </c>
      <c r="K39" s="46" t="str">
        <f ca="1" t="shared" si="1"/>
        <v>Planned</v>
      </c>
      <c r="L39" s="47">
        <v>1</v>
      </c>
      <c r="M39" s="47"/>
      <c r="N39" s="46">
        <f>IF(ISBLANK(L39),"",L39*VLOOKUP($F39,Internal!$B$26:$C$32,2,FALSE))</f>
        <v>25</v>
      </c>
      <c r="O39" s="46" t="str">
        <f>IF(ISBLANK(M39),"",M39*VLOOKUP($F39,Internal!$B$26:$C$32,2,FALSE))</f>
        <v/>
      </c>
      <c r="P39" s="40" t="s">
        <v>73</v>
      </c>
    </row>
    <row r="40" ht="14.25" spans="2:16">
      <c r="B40" s="38">
        <v>30</v>
      </c>
      <c r="C40" s="39" t="str">
        <f>IF(ISBLANK(D40),"",_xlfn.CONCAT("T",TEXT(B40,"0000"),"/",VLOOKUP(D40,Internal!$B$35:C$39,2,FALSE),IF(OR(D40="QA",D40="Revision"),_xlfn.CONCAT("/",H40),"")))</f>
        <v>T0030/R/T0029/D</v>
      </c>
      <c r="D40" s="40" t="s">
        <v>74</v>
      </c>
      <c r="E40" s="41" t="s">
        <v>60</v>
      </c>
      <c r="F40" s="41" t="s">
        <v>75</v>
      </c>
      <c r="G40" s="40" t="s">
        <v>76</v>
      </c>
      <c r="H40" s="41" t="s">
        <v>77</v>
      </c>
      <c r="I40" s="45">
        <v>46061.8333333333</v>
      </c>
      <c r="J40" s="45">
        <v>46068.8333333333</v>
      </c>
      <c r="K40" s="46" t="str">
        <f ca="1" t="shared" si="1"/>
        <v>Planned</v>
      </c>
      <c r="L40" s="47">
        <v>0.25</v>
      </c>
      <c r="M40" s="47"/>
      <c r="N40" s="46">
        <f>IF(ISBLANK(L40),"",L40*VLOOKUP($F40,Internal!$B$26:$C$32,2,FALSE))</f>
        <v>7.5</v>
      </c>
      <c r="O40" s="46" t="str">
        <f>IF(ISBLANK(M40),"",M40*VLOOKUP($F40,Internal!$B$26:$C$32,2,FALSE))</f>
        <v/>
      </c>
      <c r="P40" s="40"/>
    </row>
    <row r="41" ht="14.25" spans="2:16">
      <c r="B41" s="38">
        <v>31</v>
      </c>
      <c r="C41" s="39" t="str">
        <f>IF(ISBLANK(D41),"",_xlfn.CONCAT("T",TEXT(B41,"0000"),"/",VLOOKUP(D41,Internal!$B$35:C$39,2,FALSE),IF(OR(D41="QA",D41="Revision"),_xlfn.CONCAT("/",H41),"")))</f>
        <v>T0031/D</v>
      </c>
      <c r="D41" s="40" t="s">
        <v>59</v>
      </c>
      <c r="E41" s="41" t="s">
        <v>31</v>
      </c>
      <c r="F41" s="41" t="s">
        <v>61</v>
      </c>
      <c r="G41" s="40" t="s">
        <v>67</v>
      </c>
      <c r="H41" s="41"/>
      <c r="I41" s="45">
        <v>46061.8333333333</v>
      </c>
      <c r="J41" s="45">
        <v>46068.8333333333</v>
      </c>
      <c r="K41" s="46" t="str">
        <f ca="1" t="shared" si="1"/>
        <v>Planned</v>
      </c>
      <c r="L41" s="47">
        <v>1</v>
      </c>
      <c r="M41" s="47"/>
      <c r="N41" s="46">
        <f>IF(ISBLANK(L41),"",L41*VLOOKUP($F41,Internal!$B$26:$C$32,2,FALSE))</f>
        <v>25</v>
      </c>
      <c r="O41" s="46" t="str">
        <f>IF(ISBLANK(M41),"",M41*VLOOKUP($F41,Internal!$B$26:$C$32,2,FALSE))</f>
        <v/>
      </c>
      <c r="P41" s="40" t="s">
        <v>78</v>
      </c>
    </row>
    <row r="42" ht="14.25" spans="2:16">
      <c r="B42" s="38">
        <v>32</v>
      </c>
      <c r="C42" s="39" t="str">
        <f>IF(ISBLANK(D42),"",_xlfn.CONCAT("T",TEXT(B42,"0000"),"/",VLOOKUP(D42,Internal!$B$35:C$39,2,FALSE),IF(OR(D42="QA",D42="Revision"),_xlfn.CONCAT("/",H42),"")))</f>
        <v>T0032/R/T0031/D</v>
      </c>
      <c r="D42" s="40" t="s">
        <v>74</v>
      </c>
      <c r="E42" s="41" t="s">
        <v>60</v>
      </c>
      <c r="F42" s="41" t="s">
        <v>75</v>
      </c>
      <c r="G42" s="40" t="s">
        <v>76</v>
      </c>
      <c r="H42" s="41" t="s">
        <v>79</v>
      </c>
      <c r="I42" s="45">
        <v>46061.8333333333</v>
      </c>
      <c r="J42" s="45">
        <v>46068.8333333333</v>
      </c>
      <c r="K42" s="46" t="str">
        <f ca="1" t="shared" si="1"/>
        <v>Planned</v>
      </c>
      <c r="L42" s="47">
        <v>0.25</v>
      </c>
      <c r="M42" s="47"/>
      <c r="N42" s="46">
        <f>IF(ISBLANK(L42),"",L42*VLOOKUP($F42,Internal!$B$26:$C$32,2,FALSE))</f>
        <v>7.5</v>
      </c>
      <c r="O42" s="46" t="str">
        <f>IF(ISBLANK(M42),"",M42*VLOOKUP($F42,Internal!$B$26:$C$32,2,FALSE))</f>
        <v/>
      </c>
      <c r="P42" s="40"/>
    </row>
    <row r="43" ht="14.25" spans="2:16">
      <c r="B43" s="38">
        <v>33</v>
      </c>
      <c r="C43" s="39" t="str">
        <f>IF(ISBLANK(D43),"",_xlfn.CONCAT("T",TEXT(B43,"0000"),"/",VLOOKUP(D43,Internal!$B$35:C$39,2,FALSE),IF(OR(D43="QA",D43="Revision"),_xlfn.CONCAT("/",H43),"")))</f>
        <v>T0033/D</v>
      </c>
      <c r="D43" s="40" t="s">
        <v>59</v>
      </c>
      <c r="E43" s="41" t="s">
        <v>31</v>
      </c>
      <c r="F43" s="41" t="s">
        <v>61</v>
      </c>
      <c r="G43" s="40" t="s">
        <v>67</v>
      </c>
      <c r="H43" s="41"/>
      <c r="I43" s="45">
        <v>46061.8333333333</v>
      </c>
      <c r="J43" s="45">
        <v>46068.8333333333</v>
      </c>
      <c r="K43" s="46" t="str">
        <f ca="1" t="shared" si="1"/>
        <v>Planned</v>
      </c>
      <c r="L43" s="47">
        <v>1</v>
      </c>
      <c r="M43" s="47"/>
      <c r="N43" s="46">
        <f>IF(ISBLANK(L43),"",L43*VLOOKUP($F43,Internal!$B$26:$C$32,2,FALSE))</f>
        <v>25</v>
      </c>
      <c r="O43" s="46" t="str">
        <f>IF(ISBLANK(M43),"",M43*VLOOKUP($F43,Internal!$B$26:$C$32,2,FALSE))</f>
        <v/>
      </c>
      <c r="P43" s="40" t="s">
        <v>80</v>
      </c>
    </row>
    <row r="44" ht="14.25" spans="2:16">
      <c r="B44" s="38">
        <v>34</v>
      </c>
      <c r="C44" s="39" t="str">
        <f>IF(ISBLANK(D44),"",_xlfn.CONCAT("T",TEXT(B44,"0000"),"/",VLOOKUP(D44,Internal!$B$35:C$39,2,FALSE),IF(OR(D44="QA",D44="Revision"),_xlfn.CONCAT("/",H44),"")))</f>
        <v>T0034/R/T0033/D</v>
      </c>
      <c r="D44" s="40" t="s">
        <v>74</v>
      </c>
      <c r="E44" s="41" t="s">
        <v>60</v>
      </c>
      <c r="F44" s="41" t="s">
        <v>75</v>
      </c>
      <c r="G44" s="40" t="s">
        <v>76</v>
      </c>
      <c r="H44" s="41" t="s">
        <v>81</v>
      </c>
      <c r="I44" s="45">
        <v>46061.8333333333</v>
      </c>
      <c r="J44" s="45">
        <v>46068.8333333333</v>
      </c>
      <c r="K44" s="46" t="str">
        <f ca="1" t="shared" si="1"/>
        <v>Planned</v>
      </c>
      <c r="L44" s="47">
        <v>0.25</v>
      </c>
      <c r="M44" s="47"/>
      <c r="N44" s="46">
        <f>IF(ISBLANK(L44),"",L44*VLOOKUP($F44,Internal!$B$26:$C$32,2,FALSE))</f>
        <v>7.5</v>
      </c>
      <c r="O44" s="46" t="str">
        <f>IF(ISBLANK(M44),"",M44*VLOOKUP($F44,Internal!$B$26:$C$32,2,FALSE))</f>
        <v/>
      </c>
      <c r="P44" s="40"/>
    </row>
    <row r="45" ht="14.25" spans="2:16">
      <c r="B45" s="38">
        <v>35</v>
      </c>
      <c r="C45" s="39" t="str">
        <f>IF(ISBLANK(D45),"",_xlfn.CONCAT("T",TEXT(B45,"0000"),"/",VLOOKUP(D45,Internal!$B$35:C$39,2,FALSE),IF(OR(D45="QA",D45="Revision"),_xlfn.CONCAT("/",H45),"")))</f>
        <v>T0035/D</v>
      </c>
      <c r="D45" s="40" t="s">
        <v>59</v>
      </c>
      <c r="E45" s="41" t="s">
        <v>31</v>
      </c>
      <c r="F45" s="41" t="s">
        <v>61</v>
      </c>
      <c r="G45" s="40" t="s">
        <v>67</v>
      </c>
      <c r="H45" s="41"/>
      <c r="I45" s="45">
        <v>46061.8333333333</v>
      </c>
      <c r="J45" s="45">
        <v>46068.8333333333</v>
      </c>
      <c r="K45" s="46" t="str">
        <f ca="1" t="shared" si="1"/>
        <v>Planned</v>
      </c>
      <c r="L45" s="47">
        <v>1</v>
      </c>
      <c r="M45" s="47"/>
      <c r="N45" s="46">
        <f>IF(ISBLANK(L45),"",L45*VLOOKUP($F45,Internal!$B$26:$C$32,2,FALSE))</f>
        <v>25</v>
      </c>
      <c r="O45" s="46" t="str">
        <f>IF(ISBLANK(M45),"",M45*VLOOKUP($F45,Internal!$B$26:$C$32,2,FALSE))</f>
        <v/>
      </c>
      <c r="P45" s="40" t="s">
        <v>82</v>
      </c>
    </row>
    <row r="46" ht="14.25" spans="2:16">
      <c r="B46" s="38">
        <v>36</v>
      </c>
      <c r="C46" s="39" t="str">
        <f>IF(ISBLANK(D46),"",_xlfn.CONCAT("T",TEXT(B46,"0000"),"/",VLOOKUP(D46,Internal!$B$35:C$39,2,FALSE),IF(OR(D46="QA",D46="Revision"),_xlfn.CONCAT("/",H46),"")))</f>
        <v>T0036/R/T0035/D</v>
      </c>
      <c r="D46" s="40" t="s">
        <v>74</v>
      </c>
      <c r="E46" s="41" t="s">
        <v>60</v>
      </c>
      <c r="F46" s="41" t="s">
        <v>75</v>
      </c>
      <c r="G46" s="40" t="s">
        <v>76</v>
      </c>
      <c r="H46" s="41" t="s">
        <v>83</v>
      </c>
      <c r="I46" s="45">
        <v>46061.8333333333</v>
      </c>
      <c r="J46" s="45">
        <v>46068.8333333333</v>
      </c>
      <c r="K46" s="46" t="str">
        <f ca="1" t="shared" si="1"/>
        <v>Planned</v>
      </c>
      <c r="L46" s="47">
        <v>0.25</v>
      </c>
      <c r="M46" s="47"/>
      <c r="N46" s="46">
        <f>IF(ISBLANK(L46),"",L46*VLOOKUP($F46,Internal!$B$26:$C$32,2,FALSE))</f>
        <v>7.5</v>
      </c>
      <c r="O46" s="46" t="str">
        <f>IF(ISBLANK(M46),"",M46*VLOOKUP($F46,Internal!$B$26:$C$32,2,FALSE))</f>
        <v/>
      </c>
      <c r="P46" s="40"/>
    </row>
    <row r="47" ht="14.25" spans="2:16">
      <c r="B47" s="38">
        <v>37</v>
      </c>
      <c r="C47" s="39" t="str">
        <f>IF(ISBLANK(D47),"",_xlfn.CONCAT("T",TEXT(B47,"0000"),"/",VLOOKUP(D47,Internal!$B$35:C$39,2,FALSE),IF(OR(D47="QA",D47="Revision"),_xlfn.CONCAT("/",H47),"")))</f>
        <v>T0037/D</v>
      </c>
      <c r="D47" s="40" t="s">
        <v>59</v>
      </c>
      <c r="E47" s="41" t="s">
        <v>31</v>
      </c>
      <c r="F47" s="41" t="s">
        <v>61</v>
      </c>
      <c r="G47" s="40" t="s">
        <v>67</v>
      </c>
      <c r="H47" s="41"/>
      <c r="I47" s="45">
        <v>46061.8333333333</v>
      </c>
      <c r="J47" s="45">
        <v>46068.8333333333</v>
      </c>
      <c r="K47" s="46" t="str">
        <f ca="1" t="shared" si="1"/>
        <v>Planned</v>
      </c>
      <c r="L47" s="47"/>
      <c r="M47" s="47"/>
      <c r="N47" s="46" t="str">
        <f>IF(ISBLANK(L47),"",L47*VLOOKUP($F47,Internal!$B$26:$C$32,2,FALSE))</f>
        <v/>
      </c>
      <c r="O47" s="46" t="str">
        <f>IF(ISBLANK(M47),"",M47*VLOOKUP($F47,Internal!$B$26:$C$32,2,FALSE))</f>
        <v/>
      </c>
      <c r="P47" s="40" t="s">
        <v>84</v>
      </c>
    </row>
    <row r="48" ht="14.25" spans="2:16">
      <c r="B48" s="38">
        <v>38</v>
      </c>
      <c r="C48" s="39" t="str">
        <f>IF(ISBLANK(D48),"",_xlfn.CONCAT("T",TEXT(B48,"0000"),"/",VLOOKUP(D48,Internal!$B$35:C$39,2,FALSE),IF(OR(D48="QA",D48="Revision"),_xlfn.CONCAT("/",H48),"")))</f>
        <v>T0038/R/T0037/D</v>
      </c>
      <c r="D48" s="40" t="s">
        <v>74</v>
      </c>
      <c r="E48" s="41" t="s">
        <v>60</v>
      </c>
      <c r="F48" s="41" t="s">
        <v>75</v>
      </c>
      <c r="G48" s="40" t="s">
        <v>76</v>
      </c>
      <c r="H48" s="41" t="s">
        <v>85</v>
      </c>
      <c r="I48" s="45">
        <v>46061.8333333333</v>
      </c>
      <c r="J48" s="45">
        <v>46068.8333333333</v>
      </c>
      <c r="K48" s="46" t="str">
        <f ca="1" t="shared" si="1"/>
        <v>Planned</v>
      </c>
      <c r="L48" s="47">
        <v>0.25</v>
      </c>
      <c r="M48" s="47"/>
      <c r="N48" s="46">
        <f>IF(ISBLANK(L48),"",L48*VLOOKUP($F48,Internal!$B$26:$C$32,2,FALSE))</f>
        <v>7.5</v>
      </c>
      <c r="O48" s="46" t="str">
        <f>IF(ISBLANK(M48),"",M48*VLOOKUP($F48,Internal!$B$26:$C$32,2,FALSE))</f>
        <v/>
      </c>
      <c r="P48" s="40"/>
    </row>
    <row r="49" ht="14.25" spans="2:16">
      <c r="B49" s="38">
        <v>39</v>
      </c>
      <c r="C49" s="39" t="str">
        <f>IF(ISBLANK(D49),"",_xlfn.CONCAT("T",TEXT(B49,"0000"),"/",VLOOKUP(D49,Internal!$B$35:C$39,2,FALSE),IF(OR(D49="QA",D49="Revision"),_xlfn.CONCAT("/",H49),"")))</f>
        <v>T0039/D</v>
      </c>
      <c r="D49" s="40" t="s">
        <v>59</v>
      </c>
      <c r="E49" s="41" t="s">
        <v>31</v>
      </c>
      <c r="F49" s="41" t="s">
        <v>61</v>
      </c>
      <c r="G49" s="40" t="s">
        <v>67</v>
      </c>
      <c r="H49" s="41"/>
      <c r="I49" s="45">
        <v>46061.8333333333</v>
      </c>
      <c r="J49" s="45">
        <v>46068.8333333333</v>
      </c>
      <c r="K49" s="46" t="str">
        <f ca="1" t="shared" si="1"/>
        <v>Planned</v>
      </c>
      <c r="L49" s="47">
        <v>0.5</v>
      </c>
      <c r="M49" s="47"/>
      <c r="N49" s="46">
        <f>IF(ISBLANK(L49),"",L49*VLOOKUP($F49,Internal!$B$26:$C$32,2,FALSE))</f>
        <v>12.5</v>
      </c>
      <c r="O49" s="46" t="str">
        <f>IF(ISBLANK(M49),"",M49*VLOOKUP($F49,Internal!$B$26:$C$32,2,FALSE))</f>
        <v/>
      </c>
      <c r="P49" s="40" t="s">
        <v>86</v>
      </c>
    </row>
    <row r="50" ht="14.25" spans="2:16">
      <c r="B50" s="38">
        <v>40</v>
      </c>
      <c r="C50" s="39" t="str">
        <f>IF(ISBLANK(D50),"",_xlfn.CONCAT("T",TEXT(B50,"0000"),"/",VLOOKUP(D50,Internal!$B$35:C$39,2,FALSE),IF(OR(D50="QA",D50="Revision"),_xlfn.CONCAT("/",H50),"")))</f>
        <v>T0040/R/T0039/D</v>
      </c>
      <c r="D50" s="40" t="s">
        <v>74</v>
      </c>
      <c r="E50" s="41" t="s">
        <v>60</v>
      </c>
      <c r="F50" s="41" t="s">
        <v>75</v>
      </c>
      <c r="G50" s="40" t="s">
        <v>76</v>
      </c>
      <c r="H50" s="41" t="s">
        <v>87</v>
      </c>
      <c r="I50" s="45">
        <v>46061.8333333333</v>
      </c>
      <c r="J50" s="45">
        <v>46068.8333333333</v>
      </c>
      <c r="K50" s="46" t="str">
        <f ca="1" t="shared" si="1"/>
        <v>Planned</v>
      </c>
      <c r="L50" s="47">
        <v>0.25</v>
      </c>
      <c r="M50" s="47"/>
      <c r="N50" s="46">
        <f>IF(ISBLANK(L50),"",L50*VLOOKUP($F50,Internal!$B$26:$C$32,2,FALSE))</f>
        <v>7.5</v>
      </c>
      <c r="O50" s="46" t="str">
        <f>IF(ISBLANK(M50),"",M50*VLOOKUP($F50,Internal!$B$26:$C$32,2,FALSE))</f>
        <v/>
      </c>
      <c r="P50" s="40"/>
    </row>
    <row r="51" ht="14.25" spans="2:16">
      <c r="B51" s="38">
        <v>41</v>
      </c>
      <c r="C51" s="39" t="str">
        <f>IF(ISBLANK(D51),"",_xlfn.CONCAT("T",TEXT(B51,"0000"),"/",VLOOKUP(D51,Internal!$B$35:C$39,2,FALSE),IF(OR(D51="QA",D51="Revision"),_xlfn.CONCAT("/",H51),"")))</f>
        <v>T0041/D</v>
      </c>
      <c r="D51" s="40" t="s">
        <v>59</v>
      </c>
      <c r="E51" s="41" t="s">
        <v>60</v>
      </c>
      <c r="F51" s="41" t="s">
        <v>61</v>
      </c>
      <c r="G51" s="40" t="s">
        <v>67</v>
      </c>
      <c r="H51" s="41"/>
      <c r="I51" s="45">
        <v>46061.8333333333</v>
      </c>
      <c r="J51" s="45">
        <v>46068.8333333333</v>
      </c>
      <c r="K51" s="46" t="str">
        <f ca="1" t="shared" si="1"/>
        <v>Planned</v>
      </c>
      <c r="L51" s="47">
        <v>1</v>
      </c>
      <c r="M51" s="47"/>
      <c r="N51" s="46">
        <f>IF(ISBLANK(L51),"",L51*VLOOKUP($F51,Internal!$B$26:$C$32,2,FALSE))</f>
        <v>25</v>
      </c>
      <c r="O51" s="46" t="str">
        <f>IF(ISBLANK(M51),"",M51*VLOOKUP($F51,Internal!$B$26:$C$32,2,FALSE))</f>
        <v/>
      </c>
      <c r="P51" s="40" t="s">
        <v>88</v>
      </c>
    </row>
    <row r="52" ht="14.25" spans="2:16">
      <c r="B52" s="38">
        <v>42</v>
      </c>
      <c r="C52" s="39" t="str">
        <f>IF(ISBLANK(D52),"",_xlfn.CONCAT("T",TEXT(B52,"0000"),"/",VLOOKUP(D52,Internal!$B$35:C$39,2,FALSE),IF(OR(D52="QA",D52="Revision"),_xlfn.CONCAT("/",H52),"")))</f>
        <v>T0042/R/T0041/D</v>
      </c>
      <c r="D52" s="40" t="s">
        <v>74</v>
      </c>
      <c r="E52" s="41" t="s">
        <v>66</v>
      </c>
      <c r="F52" s="41" t="s">
        <v>75</v>
      </c>
      <c r="G52" s="40" t="s">
        <v>76</v>
      </c>
      <c r="H52" s="41" t="s">
        <v>89</v>
      </c>
      <c r="I52" s="45">
        <v>46061.8333333333</v>
      </c>
      <c r="J52" s="45">
        <v>46068.8333333333</v>
      </c>
      <c r="K52" s="46" t="str">
        <f ca="1" t="shared" si="1"/>
        <v>Planned</v>
      </c>
      <c r="L52" s="47">
        <v>0.25</v>
      </c>
      <c r="M52" s="47"/>
      <c r="N52" s="46">
        <f>IF(ISBLANK(L52),"",L52*VLOOKUP($F52,Internal!$B$26:$C$32,2,FALSE))</f>
        <v>7.5</v>
      </c>
      <c r="O52" s="46" t="str">
        <f>IF(ISBLANK(M52),"",M52*VLOOKUP($F52,Internal!$B$26:$C$32,2,FALSE))</f>
        <v/>
      </c>
      <c r="P52" s="40"/>
    </row>
    <row r="53" ht="14.25" spans="2:16">
      <c r="B53" s="38">
        <v>43</v>
      </c>
      <c r="C53" s="39" t="str">
        <f>IF(ISBLANK(D53),"",_xlfn.CONCAT("T",TEXT(B53,"0000"),"/",VLOOKUP(D53,Internal!$B$35:C$39,2,FALSE),IF(OR(D53="QA",D53="Revision"),_xlfn.CONCAT("/",H53),"")))</f>
        <v>T0043/D</v>
      </c>
      <c r="D53" s="40" t="s">
        <v>59</v>
      </c>
      <c r="E53" s="41" t="s">
        <v>60</v>
      </c>
      <c r="F53" s="41" t="s">
        <v>61</v>
      </c>
      <c r="G53" s="40" t="s">
        <v>67</v>
      </c>
      <c r="H53" s="41"/>
      <c r="I53" s="45">
        <v>46061.8333333333</v>
      </c>
      <c r="J53" s="45">
        <v>46068.8333333333</v>
      </c>
      <c r="K53" s="46" t="str">
        <f ca="1" t="shared" si="1"/>
        <v>Planned</v>
      </c>
      <c r="L53" s="47">
        <v>1</v>
      </c>
      <c r="M53" s="47"/>
      <c r="N53" s="46">
        <f>IF(ISBLANK(L53),"",L53*VLOOKUP($F53,Internal!$B$26:$C$32,2,FALSE))</f>
        <v>25</v>
      </c>
      <c r="O53" s="46" t="str">
        <f>IF(ISBLANK(M53),"",M53*VLOOKUP($F53,Internal!$B$26:$C$32,2,FALSE))</f>
        <v/>
      </c>
      <c r="P53" s="40" t="s">
        <v>90</v>
      </c>
    </row>
    <row r="54" ht="14.25" spans="2:16">
      <c r="B54" s="38">
        <v>44</v>
      </c>
      <c r="C54" s="39" t="str">
        <f>IF(ISBLANK(D54),"",_xlfn.CONCAT("T",TEXT(B54,"0000"),"/",VLOOKUP(D54,Internal!$B$35:C$39,2,FALSE),IF(OR(D54="QA",D54="Revision"),_xlfn.CONCAT("/",H54),"")))</f>
        <v>T0044/R/T0043/D</v>
      </c>
      <c r="D54" s="40" t="s">
        <v>74</v>
      </c>
      <c r="E54" s="41" t="s">
        <v>66</v>
      </c>
      <c r="F54" s="41" t="s">
        <v>75</v>
      </c>
      <c r="G54" s="40" t="s">
        <v>76</v>
      </c>
      <c r="H54" s="41" t="s">
        <v>91</v>
      </c>
      <c r="I54" s="45">
        <v>46061.8333333333</v>
      </c>
      <c r="J54" s="45">
        <v>46068.8333333333</v>
      </c>
      <c r="K54" s="46" t="str">
        <f ca="1" t="shared" si="1"/>
        <v>Planned</v>
      </c>
      <c r="L54" s="47">
        <v>0.25</v>
      </c>
      <c r="M54" s="47"/>
      <c r="N54" s="46">
        <f>IF(ISBLANK(L54),"",L54*VLOOKUP($F54,Internal!$B$26:$C$32,2,FALSE))</f>
        <v>7.5</v>
      </c>
      <c r="O54" s="46" t="str">
        <f>IF(ISBLANK(M54),"",M54*VLOOKUP($F54,Internal!$B$26:$C$32,2,FALSE))</f>
        <v/>
      </c>
      <c r="P54" s="40"/>
    </row>
    <row r="55" ht="14.25" spans="2:16">
      <c r="B55" s="38">
        <v>45</v>
      </c>
      <c r="C55" s="39" t="str">
        <f>IF(ISBLANK(D55),"",_xlfn.CONCAT("T",TEXT(B55,"0000"),"/",VLOOKUP(D55,Internal!$B$35:C$39,2,FALSE),IF(OR(D55="QA",D55="Revision"),_xlfn.CONCAT("/",H55),"")))</f>
        <v>T0045/D</v>
      </c>
      <c r="D55" s="40" t="s">
        <v>59</v>
      </c>
      <c r="E55" s="41" t="s">
        <v>60</v>
      </c>
      <c r="F55" s="41" t="s">
        <v>61</v>
      </c>
      <c r="G55" s="40" t="s">
        <v>67</v>
      </c>
      <c r="H55" s="41"/>
      <c r="I55" s="45">
        <v>46061.8333333333</v>
      </c>
      <c r="J55" s="45">
        <v>46068.8333333333</v>
      </c>
      <c r="K55" s="46" t="str">
        <f ca="1" t="shared" si="1"/>
        <v>Planned</v>
      </c>
      <c r="L55" s="47">
        <v>1</v>
      </c>
      <c r="M55" s="47"/>
      <c r="N55" s="46">
        <f>IF(ISBLANK(L55),"",L55*VLOOKUP($F55,Internal!$B$26:$C$32,2,FALSE))</f>
        <v>25</v>
      </c>
      <c r="O55" s="46" t="str">
        <f>IF(ISBLANK(M55),"",M55*VLOOKUP($F55,Internal!$B$26:$C$32,2,FALSE))</f>
        <v/>
      </c>
      <c r="P55" s="40" t="s">
        <v>92</v>
      </c>
    </row>
    <row r="56" ht="14.25" spans="2:16">
      <c r="B56" s="38">
        <v>46</v>
      </c>
      <c r="C56" s="39" t="str">
        <f>IF(ISBLANK(D56),"",_xlfn.CONCAT("T",TEXT(B56,"0000"),"/",VLOOKUP(D56,Internal!$B$35:C$39,2,FALSE),IF(OR(D56="QA",D56="Revision"),_xlfn.CONCAT("/",H56),"")))</f>
        <v>T0046/R/T0045/D</v>
      </c>
      <c r="D56" s="40" t="s">
        <v>74</v>
      </c>
      <c r="E56" s="41" t="s">
        <v>66</v>
      </c>
      <c r="F56" s="41" t="s">
        <v>75</v>
      </c>
      <c r="G56" s="40" t="s">
        <v>76</v>
      </c>
      <c r="H56" s="41" t="s">
        <v>93</v>
      </c>
      <c r="I56" s="45">
        <v>46061.8333333333</v>
      </c>
      <c r="J56" s="45">
        <v>46068.8333333333</v>
      </c>
      <c r="K56" s="46" t="str">
        <f ca="1" t="shared" si="1"/>
        <v>Planned</v>
      </c>
      <c r="L56" s="47">
        <v>0.25</v>
      </c>
      <c r="M56" s="47"/>
      <c r="N56" s="46">
        <f>IF(ISBLANK(L56),"",L56*VLOOKUP($F56,Internal!$B$26:$C$32,2,FALSE))</f>
        <v>7.5</v>
      </c>
      <c r="O56" s="46" t="str">
        <f>IF(ISBLANK(M56),"",M56*VLOOKUP($F56,Internal!$B$26:$C$32,2,FALSE))</f>
        <v/>
      </c>
      <c r="P56" s="40"/>
    </row>
    <row r="57" ht="14.25" spans="2:16">
      <c r="B57" s="38">
        <v>47</v>
      </c>
      <c r="C57" s="39" t="str">
        <f>IF(ISBLANK(D57),"",_xlfn.CONCAT("T",TEXT(B57,"0000"),"/",VLOOKUP(D57,Internal!$B$35:C$39,2,FALSE),IF(OR(D57="QA",D57="Revision"),_xlfn.CONCAT("/",H57),"")))</f>
        <v>T0047/D</v>
      </c>
      <c r="D57" s="40" t="s">
        <v>59</v>
      </c>
      <c r="E57" s="41" t="s">
        <v>60</v>
      </c>
      <c r="F57" s="41" t="s">
        <v>61</v>
      </c>
      <c r="G57" s="40" t="s">
        <v>67</v>
      </c>
      <c r="H57" s="41"/>
      <c r="I57" s="45">
        <v>46061.8333333333</v>
      </c>
      <c r="J57" s="45">
        <v>46068.8333333333</v>
      </c>
      <c r="K57" s="46" t="str">
        <f ca="1" t="shared" si="1"/>
        <v>Planned</v>
      </c>
      <c r="L57" s="47">
        <v>1</v>
      </c>
      <c r="M57" s="47"/>
      <c r="N57" s="46">
        <f>IF(ISBLANK(L57),"",L57*VLOOKUP($F57,Internal!$B$26:$C$32,2,FALSE))</f>
        <v>25</v>
      </c>
      <c r="O57" s="46" t="str">
        <f>IF(ISBLANK(M57),"",M57*VLOOKUP($F57,Internal!$B$26:$C$32,2,FALSE))</f>
        <v/>
      </c>
      <c r="P57" s="40" t="s">
        <v>94</v>
      </c>
    </row>
    <row r="58" ht="14.25" spans="2:16">
      <c r="B58" s="38">
        <v>48</v>
      </c>
      <c r="C58" s="39" t="str">
        <f>IF(ISBLANK(D58),"",_xlfn.CONCAT("T",TEXT(B58,"0000"),"/",VLOOKUP(D58,Internal!$B$35:C$39,2,FALSE),IF(OR(D58="QA",D58="Revision"),_xlfn.CONCAT("/",H58),"")))</f>
        <v>T0048/R/T0047/D</v>
      </c>
      <c r="D58" s="40" t="s">
        <v>74</v>
      </c>
      <c r="E58" s="41" t="s">
        <v>66</v>
      </c>
      <c r="F58" s="41" t="s">
        <v>75</v>
      </c>
      <c r="G58" s="40" t="s">
        <v>76</v>
      </c>
      <c r="H58" s="41" t="s">
        <v>95</v>
      </c>
      <c r="I58" s="45">
        <v>46061.8333333333</v>
      </c>
      <c r="J58" s="45">
        <v>46068.8333333333</v>
      </c>
      <c r="K58" s="46" t="str">
        <f ca="1" t="shared" si="1"/>
        <v>Planned</v>
      </c>
      <c r="L58" s="47">
        <v>0.25</v>
      </c>
      <c r="M58" s="47"/>
      <c r="N58" s="46">
        <f>IF(ISBLANK(L58),"",L58*VLOOKUP($F58,Internal!$B$26:$C$32,2,FALSE))</f>
        <v>7.5</v>
      </c>
      <c r="O58" s="46" t="str">
        <f>IF(ISBLANK(M58),"",M58*VLOOKUP($F58,Internal!$B$26:$C$32,2,FALSE))</f>
        <v/>
      </c>
      <c r="P58" s="40"/>
    </row>
    <row r="59" ht="14.25" spans="2:16">
      <c r="B59" s="38">
        <v>49</v>
      </c>
      <c r="C59" s="39" t="str">
        <f>IF(ISBLANK(D59),"",_xlfn.CONCAT("T",TEXT(B59,"0000"),"/",VLOOKUP(D59,Internal!$B$35:C$39,2,FALSE),IF(OR(D59="QA",D59="Revision"),_xlfn.CONCAT("/",H59),"")))</f>
        <v>T0049/D</v>
      </c>
      <c r="D59" s="40" t="s">
        <v>59</v>
      </c>
      <c r="E59" s="41" t="s">
        <v>60</v>
      </c>
      <c r="F59" s="41" t="s">
        <v>61</v>
      </c>
      <c r="G59" s="40" t="s">
        <v>67</v>
      </c>
      <c r="H59" s="41"/>
      <c r="I59" s="45">
        <v>46061.8333333333</v>
      </c>
      <c r="J59" s="45">
        <v>46068.8333333333</v>
      </c>
      <c r="K59" s="46" t="str">
        <f ca="1" t="shared" si="1"/>
        <v>Planned</v>
      </c>
      <c r="L59" s="47">
        <v>1</v>
      </c>
      <c r="M59" s="47"/>
      <c r="N59" s="46">
        <f>IF(ISBLANK(L59),"",L59*VLOOKUP($F59,Internal!$B$26:$C$32,2,FALSE))</f>
        <v>25</v>
      </c>
      <c r="O59" s="46" t="str">
        <f>IF(ISBLANK(M59),"",M59*VLOOKUP($F59,Internal!$B$26:$C$32,2,FALSE))</f>
        <v/>
      </c>
      <c r="P59" s="40" t="s">
        <v>84</v>
      </c>
    </row>
    <row r="60" ht="14.25" spans="2:16">
      <c r="B60" s="38">
        <v>50</v>
      </c>
      <c r="C60" s="39" t="str">
        <f>IF(ISBLANK(D60),"",_xlfn.CONCAT("T",TEXT(B60,"0000"),"/",VLOOKUP(D60,Internal!$B$35:C$39,2,FALSE),IF(OR(D60="QA",D60="Revision"),_xlfn.CONCAT("/",H60),"")))</f>
        <v>T0050/R/T0049/D</v>
      </c>
      <c r="D60" s="40" t="s">
        <v>74</v>
      </c>
      <c r="E60" s="41" t="s">
        <v>66</v>
      </c>
      <c r="F60" s="41" t="s">
        <v>75</v>
      </c>
      <c r="G60" s="40" t="s">
        <v>76</v>
      </c>
      <c r="H60" s="41" t="s">
        <v>96</v>
      </c>
      <c r="I60" s="45">
        <v>46061.8333333333</v>
      </c>
      <c r="J60" s="45">
        <v>46068.8333333333</v>
      </c>
      <c r="K60" s="46" t="str">
        <f ca="1" t="shared" si="1"/>
        <v>Planned</v>
      </c>
      <c r="L60" s="47">
        <v>0.25</v>
      </c>
      <c r="M60" s="47"/>
      <c r="N60" s="46">
        <f>IF(ISBLANK(L60),"",L60*VLOOKUP($F60,Internal!$B$26:$C$32,2,FALSE))</f>
        <v>7.5</v>
      </c>
      <c r="O60" s="46" t="str">
        <f>IF(ISBLANK(M60),"",M60*VLOOKUP($F60,Internal!$B$26:$C$32,2,FALSE))</f>
        <v/>
      </c>
      <c r="P60" s="40"/>
    </row>
    <row r="61" ht="14.25" spans="2:16">
      <c r="B61" s="38">
        <v>51</v>
      </c>
      <c r="C61" s="39" t="str">
        <f>IF(ISBLANK(D61),"",_xlfn.CONCAT("T",TEXT(B61,"0000"),"/",VLOOKUP(D61,Internal!$B$35:C$39,2,FALSE),IF(OR(D61="QA",D61="Revision"),_xlfn.CONCAT("/",H61),"")))</f>
        <v>T0051/D</v>
      </c>
      <c r="D61" s="40" t="s">
        <v>59</v>
      </c>
      <c r="E61" s="41" t="s">
        <v>60</v>
      </c>
      <c r="F61" s="41" t="s">
        <v>61</v>
      </c>
      <c r="G61" s="40" t="s">
        <v>67</v>
      </c>
      <c r="H61" s="41"/>
      <c r="I61" s="45">
        <v>46061.8333333333</v>
      </c>
      <c r="J61" s="45">
        <v>46068.8333333333</v>
      </c>
      <c r="K61" s="46" t="str">
        <f ca="1" t="shared" si="1"/>
        <v>Planned</v>
      </c>
      <c r="L61" s="47">
        <v>1</v>
      </c>
      <c r="M61" s="47"/>
      <c r="N61" s="46">
        <f>IF(ISBLANK(L61),"",L61*VLOOKUP($F61,Internal!$B$26:$C$32,2,FALSE))</f>
        <v>25</v>
      </c>
      <c r="O61" s="46" t="str">
        <f>IF(ISBLANK(M61),"",M61*VLOOKUP($F61,Internal!$B$26:$C$32,2,FALSE))</f>
        <v/>
      </c>
      <c r="P61" s="40" t="s">
        <v>97</v>
      </c>
    </row>
    <row r="62" ht="14.25" spans="2:16">
      <c r="B62" s="38">
        <v>52</v>
      </c>
      <c r="C62" s="39" t="str">
        <f>IF(ISBLANK(D62),"",_xlfn.CONCAT("T",TEXT(B62,"0000"),"/",VLOOKUP(D62,Internal!$B$35:C$39,2,FALSE),IF(OR(D62="QA",D62="Revision"),_xlfn.CONCAT("/",H62),"")))</f>
        <v>T0052/R/T0051/D</v>
      </c>
      <c r="D62" s="40" t="s">
        <v>74</v>
      </c>
      <c r="E62" s="41" t="s">
        <v>66</v>
      </c>
      <c r="F62" s="41" t="s">
        <v>75</v>
      </c>
      <c r="G62" s="40" t="s">
        <v>76</v>
      </c>
      <c r="H62" s="41" t="s">
        <v>98</v>
      </c>
      <c r="I62" s="45">
        <v>46061.8333333333</v>
      </c>
      <c r="J62" s="45">
        <v>46068.8333333333</v>
      </c>
      <c r="K62" s="46" t="str">
        <f ca="1" t="shared" si="1"/>
        <v>Planned</v>
      </c>
      <c r="L62" s="47">
        <v>0.25</v>
      </c>
      <c r="M62" s="47"/>
      <c r="N62" s="46">
        <f>IF(ISBLANK(L62),"",L62*VLOOKUP($F62,Internal!$B$26:$C$32,2,FALSE))</f>
        <v>7.5</v>
      </c>
      <c r="O62" s="46" t="str">
        <f>IF(ISBLANK(M62),"",M62*VLOOKUP($F62,Internal!$B$26:$C$32,2,FALSE))</f>
        <v/>
      </c>
      <c r="P62" s="40"/>
    </row>
    <row r="63" ht="14.25" spans="2:16">
      <c r="B63" s="38">
        <v>53</v>
      </c>
      <c r="C63" s="39" t="str">
        <f>IF(ISBLANK(D63),"",_xlfn.CONCAT("T",TEXT(B63,"0000"),"/",VLOOKUP(D63,Internal!$B$35:C$39,2,FALSE),IF(OR(D63="QA",D63="Revision"),_xlfn.CONCAT("/",H63),"")))</f>
        <v>T0053/D</v>
      </c>
      <c r="D63" s="40" t="s">
        <v>59</v>
      </c>
      <c r="E63" s="41" t="s">
        <v>66</v>
      </c>
      <c r="F63" s="41" t="s">
        <v>61</v>
      </c>
      <c r="G63" s="40" t="s">
        <v>67</v>
      </c>
      <c r="H63" s="41"/>
      <c r="I63" s="45">
        <v>46061.8333333333</v>
      </c>
      <c r="J63" s="45">
        <v>46068.8333333333</v>
      </c>
      <c r="K63" s="46" t="str">
        <f ca="1" t="shared" si="1"/>
        <v>Planned</v>
      </c>
      <c r="L63" s="47">
        <v>1</v>
      </c>
      <c r="M63" s="47"/>
      <c r="N63" s="46">
        <f>IF(ISBLANK(L63),"",L63*VLOOKUP($F63,Internal!$B$26:$C$32,2,FALSE))</f>
        <v>25</v>
      </c>
      <c r="O63" s="46" t="str">
        <f>IF(ISBLANK(M63),"",M63*VLOOKUP($F63,Internal!$B$26:$C$32,2,FALSE))</f>
        <v/>
      </c>
      <c r="P63" s="40" t="s">
        <v>99</v>
      </c>
    </row>
    <row r="64" ht="14.25" spans="2:16">
      <c r="B64" s="38">
        <v>54</v>
      </c>
      <c r="C64" s="39" t="str">
        <f>IF(ISBLANK(D64),"",_xlfn.CONCAT("T",TEXT(B64,"0000"),"/",VLOOKUP(D64,Internal!$B$35:C$39,2,FALSE),IF(OR(D64="QA",D64="Revision"),_xlfn.CONCAT("/",H64),"")))</f>
        <v>T0054/R/T0053/D</v>
      </c>
      <c r="D64" s="40" t="s">
        <v>74</v>
      </c>
      <c r="E64" s="41" t="s">
        <v>70</v>
      </c>
      <c r="F64" s="41" t="s">
        <v>75</v>
      </c>
      <c r="G64" s="40" t="s">
        <v>76</v>
      </c>
      <c r="H64" s="41" t="s">
        <v>100</v>
      </c>
      <c r="I64" s="45">
        <v>46061.8333333333</v>
      </c>
      <c r="J64" s="45">
        <v>46068.8333333333</v>
      </c>
      <c r="K64" s="46" t="str">
        <f ca="1" t="shared" si="1"/>
        <v>Planned</v>
      </c>
      <c r="L64" s="47">
        <v>0.25</v>
      </c>
      <c r="M64" s="47"/>
      <c r="N64" s="46">
        <f>IF(ISBLANK(L64),"",L64*VLOOKUP($F64,Internal!$B$26:$C$32,2,FALSE))</f>
        <v>7.5</v>
      </c>
      <c r="O64" s="46" t="str">
        <f>IF(ISBLANK(M64),"",M64*VLOOKUP($F64,Internal!$B$26:$C$32,2,FALSE))</f>
        <v/>
      </c>
      <c r="P64" s="40"/>
    </row>
    <row r="65" ht="14.25" spans="2:16">
      <c r="B65" s="38">
        <v>55</v>
      </c>
      <c r="C65" s="39" t="str">
        <f>IF(ISBLANK(D65),"",_xlfn.CONCAT("T",TEXT(B65,"0000"),"/",VLOOKUP(D65,Internal!$B$35:C$39,2,FALSE),IF(OR(D65="QA",D65="Revision"),_xlfn.CONCAT("/",H65),"")))</f>
        <v>T0055/D</v>
      </c>
      <c r="D65" s="40" t="s">
        <v>59</v>
      </c>
      <c r="E65" s="41" t="s">
        <v>66</v>
      </c>
      <c r="F65" s="41" t="s">
        <v>61</v>
      </c>
      <c r="G65" s="40" t="s">
        <v>67</v>
      </c>
      <c r="H65" s="41"/>
      <c r="I65" s="45">
        <v>46061.8333333333</v>
      </c>
      <c r="J65" s="45">
        <v>46068.8333333333</v>
      </c>
      <c r="K65" s="46" t="str">
        <f ca="1" t="shared" si="1"/>
        <v>Planned</v>
      </c>
      <c r="L65" s="47">
        <v>1</v>
      </c>
      <c r="M65" s="47"/>
      <c r="N65" s="46">
        <f>IF(ISBLANK(L65),"",L65*VLOOKUP($F65,Internal!$B$26:$C$32,2,FALSE))</f>
        <v>25</v>
      </c>
      <c r="O65" s="46" t="str">
        <f>IF(ISBLANK(M65),"",M65*VLOOKUP($F65,Internal!$B$26:$C$32,2,FALSE))</f>
        <v/>
      </c>
      <c r="P65" s="40" t="s">
        <v>101</v>
      </c>
    </row>
    <row r="66" ht="14.25" spans="2:16">
      <c r="B66" s="38">
        <v>56</v>
      </c>
      <c r="C66" s="39" t="str">
        <f>IF(ISBLANK(D66),"",_xlfn.CONCAT("T",TEXT(B66,"0000"),"/",VLOOKUP(D66,Internal!$B$35:C$39,2,FALSE),IF(OR(D66="QA",D66="Revision"),_xlfn.CONCAT("/",H66),"")))</f>
        <v>T0056/R/T0055/D</v>
      </c>
      <c r="D66" s="40" t="s">
        <v>74</v>
      </c>
      <c r="E66" s="41" t="s">
        <v>70</v>
      </c>
      <c r="F66" s="41" t="s">
        <v>75</v>
      </c>
      <c r="G66" s="40" t="s">
        <v>76</v>
      </c>
      <c r="H66" s="41" t="s">
        <v>102</v>
      </c>
      <c r="I66" s="45">
        <v>46061.8333333333</v>
      </c>
      <c r="J66" s="45">
        <v>46068.8333333333</v>
      </c>
      <c r="K66" s="46" t="str">
        <f ca="1" t="shared" si="1"/>
        <v>Planned</v>
      </c>
      <c r="L66" s="47">
        <v>0.25</v>
      </c>
      <c r="M66" s="47"/>
      <c r="N66" s="46">
        <f>IF(ISBLANK(L66),"",L66*VLOOKUP($F66,Internal!$B$26:$C$32,2,FALSE))</f>
        <v>7.5</v>
      </c>
      <c r="O66" s="46" t="str">
        <f>IF(ISBLANK(M66),"",M66*VLOOKUP($F66,Internal!$B$26:$C$32,2,FALSE))</f>
        <v/>
      </c>
      <c r="P66" s="40"/>
    </row>
    <row r="67" ht="14.25" spans="2:16">
      <c r="B67" s="38">
        <v>57</v>
      </c>
      <c r="C67" s="39" t="str">
        <f>IF(ISBLANK(D67),"",_xlfn.CONCAT("T",TEXT(B67,"0000"),"/",VLOOKUP(D67,Internal!$B$35:C$39,2,FALSE),IF(OR(D67="QA",D67="Revision"),_xlfn.CONCAT("/",H67),"")))</f>
        <v>T0057/D</v>
      </c>
      <c r="D67" s="40" t="s">
        <v>59</v>
      </c>
      <c r="E67" s="41" t="s">
        <v>66</v>
      </c>
      <c r="F67" s="41" t="s">
        <v>61</v>
      </c>
      <c r="G67" s="40" t="s">
        <v>67</v>
      </c>
      <c r="H67" s="41"/>
      <c r="I67" s="45">
        <v>46061.8333333333</v>
      </c>
      <c r="J67" s="45">
        <v>46068.8333333333</v>
      </c>
      <c r="K67" s="46" t="str">
        <f ca="1" t="shared" si="1"/>
        <v>Planned</v>
      </c>
      <c r="L67" s="47">
        <v>1</v>
      </c>
      <c r="M67" s="47"/>
      <c r="N67" s="46">
        <f>IF(ISBLANK(L67),"",L67*VLOOKUP($F67,Internal!$B$26:$C$32,2,FALSE))</f>
        <v>25</v>
      </c>
      <c r="O67" s="46" t="str">
        <f>IF(ISBLANK(M67),"",M67*VLOOKUP($F67,Internal!$B$26:$C$32,2,FALSE))</f>
        <v/>
      </c>
      <c r="P67" s="40" t="s">
        <v>103</v>
      </c>
    </row>
    <row r="68" ht="14.25" spans="2:16">
      <c r="B68" s="38">
        <v>58</v>
      </c>
      <c r="C68" s="39" t="str">
        <f>IF(ISBLANK(D68),"",_xlfn.CONCAT("T",TEXT(B68,"0000"),"/",VLOOKUP(D68,Internal!$B$35:C$39,2,FALSE),IF(OR(D68="QA",D68="Revision"),_xlfn.CONCAT("/",H68),"")))</f>
        <v>T0058/R/T0057/D</v>
      </c>
      <c r="D68" s="40" t="s">
        <v>74</v>
      </c>
      <c r="E68" s="41" t="s">
        <v>70</v>
      </c>
      <c r="F68" s="41" t="s">
        <v>75</v>
      </c>
      <c r="G68" s="40" t="s">
        <v>76</v>
      </c>
      <c r="H68" s="41" t="s">
        <v>104</v>
      </c>
      <c r="I68" s="45">
        <v>46061.8333333333</v>
      </c>
      <c r="J68" s="45">
        <v>46068.8333333333</v>
      </c>
      <c r="K68" s="46" t="str">
        <f ca="1" t="shared" si="1"/>
        <v>Planned</v>
      </c>
      <c r="L68" s="47">
        <v>0.25</v>
      </c>
      <c r="M68" s="47"/>
      <c r="N68" s="46">
        <f>IF(ISBLANK(L68),"",L68*VLOOKUP($F68,Internal!$B$26:$C$32,2,FALSE))</f>
        <v>7.5</v>
      </c>
      <c r="O68" s="46" t="str">
        <f>IF(ISBLANK(M68),"",M68*VLOOKUP($F68,Internal!$B$26:$C$32,2,FALSE))</f>
        <v/>
      </c>
      <c r="P68" s="40"/>
    </row>
    <row r="69" ht="14.25" spans="2:16">
      <c r="B69" s="38">
        <v>59</v>
      </c>
      <c r="C69" s="39" t="str">
        <f>IF(ISBLANK(D69),"",_xlfn.CONCAT("T",TEXT(B69,"0000"),"/",VLOOKUP(D69,Internal!$B$35:C$39,2,FALSE),IF(OR(D69="QA",D69="Revision"),_xlfn.CONCAT("/",H69),"")))</f>
        <v>T0059/D</v>
      </c>
      <c r="D69" s="40" t="s">
        <v>59</v>
      </c>
      <c r="E69" s="41" t="s">
        <v>66</v>
      </c>
      <c r="F69" s="41" t="s">
        <v>61</v>
      </c>
      <c r="G69" s="40" t="s">
        <v>67</v>
      </c>
      <c r="H69" s="41"/>
      <c r="I69" s="45">
        <v>46061.8333333333</v>
      </c>
      <c r="J69" s="45">
        <v>46068.8333333333</v>
      </c>
      <c r="K69" s="46" t="str">
        <f ca="1" t="shared" si="1"/>
        <v>Planned</v>
      </c>
      <c r="L69" s="47">
        <v>1</v>
      </c>
      <c r="M69" s="47"/>
      <c r="N69" s="46">
        <f>IF(ISBLANK(L69),"",L69*VLOOKUP($F69,Internal!$B$26:$C$32,2,FALSE))</f>
        <v>25</v>
      </c>
      <c r="O69" s="46" t="str">
        <f>IF(ISBLANK(M69),"",M69*VLOOKUP($F69,Internal!$B$26:$C$32,2,FALSE))</f>
        <v/>
      </c>
      <c r="P69" s="40" t="s">
        <v>105</v>
      </c>
    </row>
    <row r="70" ht="14.25" spans="2:16">
      <c r="B70" s="38">
        <v>60</v>
      </c>
      <c r="C70" s="39" t="str">
        <f>IF(ISBLANK(D70),"",_xlfn.CONCAT("T",TEXT(B70,"0000"),"/",VLOOKUP(D70,Internal!$B$35:C$39,2,FALSE),IF(OR(D70="QA",D70="Revision"),_xlfn.CONCAT("/",H70),"")))</f>
        <v>T0060/R/T0059/D</v>
      </c>
      <c r="D70" s="40" t="s">
        <v>74</v>
      </c>
      <c r="E70" s="41" t="s">
        <v>70</v>
      </c>
      <c r="F70" s="41" t="s">
        <v>75</v>
      </c>
      <c r="G70" s="40" t="s">
        <v>76</v>
      </c>
      <c r="H70" s="41" t="s">
        <v>106</v>
      </c>
      <c r="I70" s="45">
        <v>46061.8333333333</v>
      </c>
      <c r="J70" s="45">
        <v>46068.8333333333</v>
      </c>
      <c r="K70" s="46" t="str">
        <f ca="1" t="shared" si="1"/>
        <v>Planned</v>
      </c>
      <c r="L70" s="47">
        <v>0.25</v>
      </c>
      <c r="M70" s="47"/>
      <c r="N70" s="46">
        <f>IF(ISBLANK(L70),"",L70*VLOOKUP($F70,Internal!$B$26:$C$32,2,FALSE))</f>
        <v>7.5</v>
      </c>
      <c r="O70" s="46" t="str">
        <f>IF(ISBLANK(M70),"",M70*VLOOKUP($F70,Internal!$B$26:$C$32,2,FALSE))</f>
        <v/>
      </c>
      <c r="P70" s="40"/>
    </row>
    <row r="71" ht="14.25" spans="2:16">
      <c r="B71" s="38">
        <v>61</v>
      </c>
      <c r="C71" s="39" t="str">
        <f>IF(ISBLANK(D71),"",_xlfn.CONCAT("T",TEXT(B71,"0000"),"/",VLOOKUP(D71,Internal!$B$35:C$39,2,FALSE),IF(OR(D71="QA",D71="Revision"),_xlfn.CONCAT("/",H71),"")))</f>
        <v>T0061/D</v>
      </c>
      <c r="D71" s="40" t="s">
        <v>59</v>
      </c>
      <c r="E71" s="41" t="s">
        <v>66</v>
      </c>
      <c r="F71" s="41" t="s">
        <v>61</v>
      </c>
      <c r="G71" s="40" t="s">
        <v>67</v>
      </c>
      <c r="H71" s="41"/>
      <c r="I71" s="45">
        <v>46061.8333333333</v>
      </c>
      <c r="J71" s="45">
        <v>46068.8333333333</v>
      </c>
      <c r="K71" s="46" t="str">
        <f ca="1" t="shared" si="1"/>
        <v>Planned</v>
      </c>
      <c r="L71" s="47">
        <v>1</v>
      </c>
      <c r="M71" s="47"/>
      <c r="N71" s="46">
        <f>IF(ISBLANK(L71),"",L71*VLOOKUP($F71,Internal!$B$26:$C$32,2,FALSE))</f>
        <v>25</v>
      </c>
      <c r="O71" s="46" t="str">
        <f>IF(ISBLANK(M71),"",M71*VLOOKUP($F71,Internal!$B$26:$C$32,2,FALSE))</f>
        <v/>
      </c>
      <c r="P71" s="40" t="s">
        <v>84</v>
      </c>
    </row>
    <row r="72" ht="14.25" spans="2:16">
      <c r="B72" s="38">
        <v>62</v>
      </c>
      <c r="C72" s="39" t="str">
        <f>IF(ISBLANK(D72),"",_xlfn.CONCAT("T",TEXT(B72,"0000"),"/",VLOOKUP(D72,Internal!$B$35:C$39,2,FALSE),IF(OR(D72="QA",D72="Revision"),_xlfn.CONCAT("/",H72),"")))</f>
        <v>T0062/R/T0061/D</v>
      </c>
      <c r="D72" s="40" t="s">
        <v>74</v>
      </c>
      <c r="E72" s="41" t="s">
        <v>70</v>
      </c>
      <c r="F72" s="41" t="s">
        <v>75</v>
      </c>
      <c r="G72" s="40" t="s">
        <v>76</v>
      </c>
      <c r="H72" s="41" t="s">
        <v>107</v>
      </c>
      <c r="I72" s="45">
        <v>46061.8333333333</v>
      </c>
      <c r="J72" s="45">
        <v>46068.8333333333</v>
      </c>
      <c r="K72" s="46" t="str">
        <f ca="1" t="shared" si="1"/>
        <v>Planned</v>
      </c>
      <c r="L72" s="47">
        <v>0.25</v>
      </c>
      <c r="M72" s="47"/>
      <c r="N72" s="46">
        <f>IF(ISBLANK(L72),"",L72*VLOOKUP($F72,Internal!$B$26:$C$32,2,FALSE))</f>
        <v>7.5</v>
      </c>
      <c r="O72" s="46" t="str">
        <f>IF(ISBLANK(M72),"",M72*VLOOKUP($F72,Internal!$B$26:$C$32,2,FALSE))</f>
        <v/>
      </c>
      <c r="P72" s="40"/>
    </row>
    <row r="73" ht="14.25" spans="2:16">
      <c r="B73" s="38">
        <v>63</v>
      </c>
      <c r="C73" s="39" t="str">
        <f>IF(ISBLANK(D73),"",_xlfn.CONCAT("T",TEXT(B73,"0000"),"/",VLOOKUP(D73,Internal!$B$35:C$39,2,FALSE),IF(OR(D73="QA",D73="Revision"),_xlfn.CONCAT("/",H73),"")))</f>
        <v>T0063/D</v>
      </c>
      <c r="D73" s="40" t="s">
        <v>59</v>
      </c>
      <c r="E73" s="41" t="s">
        <v>66</v>
      </c>
      <c r="F73" s="41" t="s">
        <v>61</v>
      </c>
      <c r="G73" s="40" t="s">
        <v>67</v>
      </c>
      <c r="H73" s="41"/>
      <c r="I73" s="45">
        <v>46061.8333333333</v>
      </c>
      <c r="J73" s="45">
        <v>46068.8333333333</v>
      </c>
      <c r="K73" s="46" t="str">
        <f ca="1" t="shared" si="1"/>
        <v>Planned</v>
      </c>
      <c r="L73" s="47">
        <v>1</v>
      </c>
      <c r="M73" s="47"/>
      <c r="N73" s="46">
        <f>IF(ISBLANK(L73),"",L73*VLOOKUP($F73,Internal!$B$26:$C$32,2,FALSE))</f>
        <v>25</v>
      </c>
      <c r="O73" s="46" t="str">
        <f>IF(ISBLANK(M73),"",M73*VLOOKUP($F73,Internal!$B$26:$C$32,2,FALSE))</f>
        <v/>
      </c>
      <c r="P73" s="40" t="s">
        <v>108</v>
      </c>
    </row>
    <row r="74" ht="14.25" spans="2:16">
      <c r="B74" s="38">
        <v>64</v>
      </c>
      <c r="C74" s="39" t="str">
        <f>IF(ISBLANK(D74),"",_xlfn.CONCAT("T",TEXT(B74,"0000"),"/",VLOOKUP(D74,Internal!$B$35:C$39,2,FALSE),IF(OR(D74="QA",D74="Revision"),_xlfn.CONCAT("/",H74),"")))</f>
        <v>T0064/R/T0063/D</v>
      </c>
      <c r="D74" s="40" t="s">
        <v>74</v>
      </c>
      <c r="E74" s="41" t="s">
        <v>70</v>
      </c>
      <c r="F74" s="41" t="s">
        <v>75</v>
      </c>
      <c r="G74" s="40" t="s">
        <v>76</v>
      </c>
      <c r="H74" s="41" t="s">
        <v>109</v>
      </c>
      <c r="I74" s="45">
        <v>46061.8333333333</v>
      </c>
      <c r="J74" s="45">
        <v>46068.8333333333</v>
      </c>
      <c r="K74" s="46" t="str">
        <f ca="1" t="shared" si="1"/>
        <v>Planned</v>
      </c>
      <c r="L74" s="47">
        <v>0.25</v>
      </c>
      <c r="M74" s="47"/>
      <c r="N74" s="46">
        <f>IF(ISBLANK(L74),"",L74*VLOOKUP($F74,Internal!$B$26:$C$32,2,FALSE))</f>
        <v>7.5</v>
      </c>
      <c r="O74" s="46" t="str">
        <f>IF(ISBLANK(M74),"",M74*VLOOKUP($F74,Internal!$B$26:$C$32,2,FALSE))</f>
        <v/>
      </c>
      <c r="P74" s="40"/>
    </row>
    <row r="75" ht="14.25" spans="2:16">
      <c r="B75" s="38">
        <v>65</v>
      </c>
      <c r="C75" s="39" t="str">
        <f>IF(ISBLANK(D75),"",_xlfn.CONCAT("T",TEXT(B75,"0000"),"/",VLOOKUP(D75,Internal!$B$35:C$39,2,FALSE),IF(OR(D75="QA",D75="Revision"),_xlfn.CONCAT("/",H75),"")))</f>
        <v>T0065/D</v>
      </c>
      <c r="D75" s="40" t="s">
        <v>59</v>
      </c>
      <c r="E75" s="41" t="s">
        <v>70</v>
      </c>
      <c r="F75" s="41" t="s">
        <v>61</v>
      </c>
      <c r="G75" s="40" t="s">
        <v>67</v>
      </c>
      <c r="H75" s="41"/>
      <c r="I75" s="45">
        <v>46061.8333333333</v>
      </c>
      <c r="J75" s="45">
        <v>46068.8333333333</v>
      </c>
      <c r="K75" s="46" t="str">
        <f ca="1" t="shared" si="1"/>
        <v>Planned</v>
      </c>
      <c r="L75" s="47">
        <v>1</v>
      </c>
      <c r="M75" s="47"/>
      <c r="N75" s="46">
        <f>IF(ISBLANK(L75),"",L75*VLOOKUP($F75,Internal!$B$26:$C$32,2,FALSE))</f>
        <v>25</v>
      </c>
      <c r="O75" s="46" t="str">
        <f>IF(ISBLANK(M75),"",M75*VLOOKUP($F75,Internal!$B$26:$C$32,2,FALSE))</f>
        <v/>
      </c>
      <c r="P75" s="40" t="s">
        <v>110</v>
      </c>
    </row>
    <row r="76" ht="14.25" spans="2:16">
      <c r="B76" s="38">
        <v>66</v>
      </c>
      <c r="C76" s="39" t="str">
        <f>IF(ISBLANK(D76),"",_xlfn.CONCAT("T",TEXT(B76,"0000"),"/",VLOOKUP(D76,Internal!$B$35:C$39,2,FALSE),IF(OR(D76="QA",D76="Revision"),_xlfn.CONCAT("/",H76),"")))</f>
        <v>T0066/R/T0065/D</v>
      </c>
      <c r="D76" s="40" t="s">
        <v>74</v>
      </c>
      <c r="E76" s="41" t="s">
        <v>31</v>
      </c>
      <c r="F76" s="41" t="s">
        <v>75</v>
      </c>
      <c r="G76" s="40" t="s">
        <v>76</v>
      </c>
      <c r="H76" s="41" t="s">
        <v>111</v>
      </c>
      <c r="I76" s="45">
        <v>46061.8333333333</v>
      </c>
      <c r="J76" s="45">
        <v>46068.8333333333</v>
      </c>
      <c r="K76" s="46" t="str">
        <f ca="1" t="shared" si="1"/>
        <v>Planned</v>
      </c>
      <c r="L76" s="47">
        <v>0.25</v>
      </c>
      <c r="M76" s="47"/>
      <c r="N76" s="46">
        <f>IF(ISBLANK(L76),"",L76*VLOOKUP($F76,Internal!$B$26:$C$32,2,FALSE))</f>
        <v>7.5</v>
      </c>
      <c r="O76" s="46" t="str">
        <f>IF(ISBLANK(M76),"",M76*VLOOKUP($F76,Internal!$B$26:$C$32,2,FALSE))</f>
        <v/>
      </c>
      <c r="P76" s="40"/>
    </row>
    <row r="77" ht="14.25" spans="2:16">
      <c r="B77" s="38">
        <v>67</v>
      </c>
      <c r="C77" s="39" t="str">
        <f>IF(ISBLANK(D77),"",_xlfn.CONCAT("T",TEXT(B77,"0000"),"/",VLOOKUP(D77,Internal!$B$35:C$39,2,FALSE),IF(OR(D77="QA",D77="Revision"),_xlfn.CONCAT("/",H77),"")))</f>
        <v>T0067/D</v>
      </c>
      <c r="D77" s="40" t="s">
        <v>59</v>
      </c>
      <c r="E77" s="41" t="s">
        <v>70</v>
      </c>
      <c r="F77" s="41" t="s">
        <v>61</v>
      </c>
      <c r="G77" s="40" t="s">
        <v>67</v>
      </c>
      <c r="H77" s="41"/>
      <c r="I77" s="45">
        <v>46061.8333333333</v>
      </c>
      <c r="J77" s="45">
        <v>46068.8333333333</v>
      </c>
      <c r="K77" s="46" t="str">
        <f ca="1" t="shared" si="1"/>
        <v>Planned</v>
      </c>
      <c r="L77" s="47">
        <v>1</v>
      </c>
      <c r="M77" s="47"/>
      <c r="N77" s="46">
        <f>IF(ISBLANK(L77),"",L77*VLOOKUP($F77,Internal!$B$26:$C$32,2,FALSE))</f>
        <v>25</v>
      </c>
      <c r="O77" s="46" t="str">
        <f>IF(ISBLANK(M77),"",M77*VLOOKUP($F77,Internal!$B$26:$C$32,2,FALSE))</f>
        <v/>
      </c>
      <c r="P77" s="40" t="s">
        <v>112</v>
      </c>
    </row>
    <row r="78" ht="14.25" spans="2:16">
      <c r="B78" s="38">
        <v>68</v>
      </c>
      <c r="C78" s="39" t="str">
        <f>IF(ISBLANK(D78),"",_xlfn.CONCAT("T",TEXT(B78,"0000"),"/",VLOOKUP(D78,Internal!$B$35:C$39,2,FALSE),IF(OR(D78="QA",D78="Revision"),_xlfn.CONCAT("/",H78),"")))</f>
        <v>T0068/R/T0067/D</v>
      </c>
      <c r="D78" s="40" t="s">
        <v>74</v>
      </c>
      <c r="E78" s="41" t="s">
        <v>31</v>
      </c>
      <c r="F78" s="41" t="s">
        <v>75</v>
      </c>
      <c r="G78" s="40" t="s">
        <v>76</v>
      </c>
      <c r="H78" s="41" t="s">
        <v>113</v>
      </c>
      <c r="I78" s="45">
        <v>46061.8333333333</v>
      </c>
      <c r="J78" s="45">
        <v>46068.8333333333</v>
      </c>
      <c r="K78" s="46" t="str">
        <f ca="1" t="shared" si="1"/>
        <v>Planned</v>
      </c>
      <c r="L78" s="47">
        <v>0.25</v>
      </c>
      <c r="M78" s="47"/>
      <c r="N78" s="46">
        <f>IF(ISBLANK(L78),"",L78*VLOOKUP($F78,Internal!$B$26:$C$32,2,FALSE))</f>
        <v>7.5</v>
      </c>
      <c r="O78" s="46" t="str">
        <f>IF(ISBLANK(M78),"",M78*VLOOKUP($F78,Internal!$B$26:$C$32,2,FALSE))</f>
        <v/>
      </c>
      <c r="P78" s="40"/>
    </row>
    <row r="79" ht="14.25" spans="2:16">
      <c r="B79" s="38">
        <v>69</v>
      </c>
      <c r="C79" s="39" t="str">
        <f>IF(ISBLANK(D79),"",_xlfn.CONCAT("T",TEXT(B79,"0000"),"/",VLOOKUP(D79,Internal!$B$35:C$39,2,FALSE),IF(OR(D79="QA",D79="Revision"),_xlfn.CONCAT("/",H79),"")))</f>
        <v>T0069/D</v>
      </c>
      <c r="D79" s="40" t="s">
        <v>59</v>
      </c>
      <c r="E79" s="41" t="s">
        <v>70</v>
      </c>
      <c r="F79" s="41" t="s">
        <v>61</v>
      </c>
      <c r="G79" s="40" t="s">
        <v>67</v>
      </c>
      <c r="H79" s="41"/>
      <c r="I79" s="45">
        <v>46061.8333333333</v>
      </c>
      <c r="J79" s="45">
        <v>46068.8333333333</v>
      </c>
      <c r="K79" s="46" t="str">
        <f ca="1" t="shared" si="1"/>
        <v>Planned</v>
      </c>
      <c r="L79" s="47">
        <v>1</v>
      </c>
      <c r="M79" s="47"/>
      <c r="N79" s="46">
        <f>IF(ISBLANK(L79),"",L79*VLOOKUP($F79,Internal!$B$26:$C$32,2,FALSE))</f>
        <v>25</v>
      </c>
      <c r="O79" s="46" t="str">
        <f>IF(ISBLANK(M79),"",M79*VLOOKUP($F79,Internal!$B$26:$C$32,2,FALSE))</f>
        <v/>
      </c>
      <c r="P79" s="40" t="s">
        <v>114</v>
      </c>
    </row>
    <row r="80" ht="14.25" spans="2:16">
      <c r="B80" s="38">
        <v>70</v>
      </c>
      <c r="C80" s="39" t="str">
        <f>IF(ISBLANK(D80),"",_xlfn.CONCAT("T",TEXT(B80,"0000"),"/",VLOOKUP(D80,Internal!$B$35:C$39,2,FALSE),IF(OR(D80="QA",D80="Revision"),_xlfn.CONCAT("/",H80),"")))</f>
        <v>T0070/R/T0069/D</v>
      </c>
      <c r="D80" s="40" t="s">
        <v>74</v>
      </c>
      <c r="E80" s="41" t="s">
        <v>31</v>
      </c>
      <c r="F80" s="41" t="s">
        <v>75</v>
      </c>
      <c r="G80" s="40" t="s">
        <v>76</v>
      </c>
      <c r="H80" s="41" t="s">
        <v>115</v>
      </c>
      <c r="I80" s="45">
        <v>46061.8333333333</v>
      </c>
      <c r="J80" s="45">
        <v>46068.8333333333</v>
      </c>
      <c r="K80" s="46" t="str">
        <f ca="1" t="shared" si="1"/>
        <v>Planned</v>
      </c>
      <c r="L80" s="47">
        <v>0.25</v>
      </c>
      <c r="M80" s="47"/>
      <c r="N80" s="46">
        <f>IF(ISBLANK(L80),"",L80*VLOOKUP($F80,Internal!$B$26:$C$32,2,FALSE))</f>
        <v>7.5</v>
      </c>
      <c r="O80" s="46" t="str">
        <f>IF(ISBLANK(M80),"",M80*VLOOKUP($F80,Internal!$B$26:$C$32,2,FALSE))</f>
        <v/>
      </c>
      <c r="P80" s="40"/>
    </row>
    <row r="81" ht="14.25" spans="2:16">
      <c r="B81" s="38">
        <v>71</v>
      </c>
      <c r="C81" s="39" t="str">
        <f>IF(ISBLANK(D81),"",_xlfn.CONCAT("T",TEXT(B81,"0000"),"/",VLOOKUP(D81,Internal!$B$35:C$39,2,FALSE),IF(OR(D81="QA",D81="Revision"),_xlfn.CONCAT("/",H81),"")))</f>
        <v>T0071/D</v>
      </c>
      <c r="D81" s="40" t="s">
        <v>59</v>
      </c>
      <c r="E81" s="41" t="s">
        <v>70</v>
      </c>
      <c r="F81" s="41" t="s">
        <v>61</v>
      </c>
      <c r="G81" s="40" t="s">
        <v>67</v>
      </c>
      <c r="H81" s="41"/>
      <c r="I81" s="45">
        <v>46061.8333333333</v>
      </c>
      <c r="J81" s="45">
        <v>46068.8333333333</v>
      </c>
      <c r="K81" s="46" t="str">
        <f ca="1" t="shared" si="1"/>
        <v>Planned</v>
      </c>
      <c r="L81" s="47">
        <v>1</v>
      </c>
      <c r="M81" s="47"/>
      <c r="N81" s="46">
        <f>IF(ISBLANK(L81),"",L81*VLOOKUP($F81,Internal!$B$26:$C$32,2,FALSE))</f>
        <v>25</v>
      </c>
      <c r="O81" s="46" t="str">
        <f>IF(ISBLANK(M81),"",M81*VLOOKUP($F81,Internal!$B$26:$C$32,2,FALSE))</f>
        <v/>
      </c>
      <c r="P81" s="40" t="s">
        <v>116</v>
      </c>
    </row>
    <row r="82" ht="14.25" spans="2:16">
      <c r="B82" s="38">
        <v>72</v>
      </c>
      <c r="C82" s="39" t="str">
        <f>IF(ISBLANK(D82),"",_xlfn.CONCAT("T",TEXT(B82,"0000"),"/",VLOOKUP(D82,Internal!$B$35:C$39,2,FALSE),IF(OR(D82="QA",D82="Revision"),_xlfn.CONCAT("/",H82),"")))</f>
        <v>T0072/R/T0071/D</v>
      </c>
      <c r="D82" s="40" t="s">
        <v>74</v>
      </c>
      <c r="E82" s="41" t="s">
        <v>31</v>
      </c>
      <c r="F82" s="41" t="s">
        <v>75</v>
      </c>
      <c r="G82" s="40" t="s">
        <v>76</v>
      </c>
      <c r="H82" s="41" t="s">
        <v>117</v>
      </c>
      <c r="I82" s="45">
        <v>46061.8333333333</v>
      </c>
      <c r="J82" s="45">
        <v>46068.8333333333</v>
      </c>
      <c r="K82" s="46" t="str">
        <f ca="1" t="shared" si="1"/>
        <v>Planned</v>
      </c>
      <c r="L82" s="47">
        <v>0.25</v>
      </c>
      <c r="M82" s="47"/>
      <c r="N82" s="46">
        <f>IF(ISBLANK(L82),"",L82*VLOOKUP($F82,Internal!$B$26:$C$32,2,FALSE))</f>
        <v>7.5</v>
      </c>
      <c r="O82" s="46" t="str">
        <f>IF(ISBLANK(M82),"",M82*VLOOKUP($F82,Internal!$B$26:$C$32,2,FALSE))</f>
        <v/>
      </c>
      <c r="P82" s="40"/>
    </row>
    <row r="83" ht="14.25" spans="2:16">
      <c r="B83" s="38">
        <v>73</v>
      </c>
      <c r="C83" s="39" t="str">
        <f>IF(ISBLANK(D83),"",_xlfn.CONCAT("T",TEXT(B83,"0000"),"/",VLOOKUP(D83,Internal!$B$35:C$39,2,FALSE),IF(OR(D83="QA",D83="Revision"),_xlfn.CONCAT("/",H83),"")))</f>
        <v>T0073/D</v>
      </c>
      <c r="D83" s="40" t="s">
        <v>59</v>
      </c>
      <c r="E83" s="41" t="s">
        <v>70</v>
      </c>
      <c r="F83" s="41" t="s">
        <v>61</v>
      </c>
      <c r="G83" s="40" t="s">
        <v>67</v>
      </c>
      <c r="H83" s="41"/>
      <c r="I83" s="45">
        <v>46061.8333333333</v>
      </c>
      <c r="J83" s="45">
        <v>46068.8333333333</v>
      </c>
      <c r="K83" s="46" t="str">
        <f ca="1" t="shared" si="1"/>
        <v>Planned</v>
      </c>
      <c r="L83" s="47">
        <v>1</v>
      </c>
      <c r="M83" s="47"/>
      <c r="N83" s="46">
        <f>IF(ISBLANK(L83),"",L83*VLOOKUP($F83,Internal!$B$26:$C$32,2,FALSE))</f>
        <v>25</v>
      </c>
      <c r="O83" s="46" t="str">
        <f>IF(ISBLANK(M83),"",M83*VLOOKUP($F83,Internal!$B$26:$C$32,2,FALSE))</f>
        <v/>
      </c>
      <c r="P83" s="40" t="s">
        <v>84</v>
      </c>
    </row>
    <row r="84" ht="14.25" spans="2:16">
      <c r="B84" s="38">
        <v>74</v>
      </c>
      <c r="C84" s="39" t="str">
        <f>IF(ISBLANK(D84),"",_xlfn.CONCAT("T",TEXT(B84,"0000"),"/",VLOOKUP(D84,Internal!$B$35:C$39,2,FALSE),IF(OR(D84="QA",D84="Revision"),_xlfn.CONCAT("/",H84),"")))</f>
        <v>T0074/R/T0073/D</v>
      </c>
      <c r="D84" s="40" t="s">
        <v>74</v>
      </c>
      <c r="E84" s="41" t="s">
        <v>31</v>
      </c>
      <c r="F84" s="41" t="s">
        <v>75</v>
      </c>
      <c r="G84" s="40" t="s">
        <v>76</v>
      </c>
      <c r="H84" s="41" t="s">
        <v>118</v>
      </c>
      <c r="I84" s="45">
        <v>46061.8333333333</v>
      </c>
      <c r="J84" s="45">
        <v>46068.8333333333</v>
      </c>
      <c r="K84" s="46" t="str">
        <f ca="1" t="shared" si="1"/>
        <v>Planned</v>
      </c>
      <c r="L84" s="47">
        <v>0.25</v>
      </c>
      <c r="M84" s="47"/>
      <c r="N84" s="46">
        <f>IF(ISBLANK(L84),"",L84*VLOOKUP($F84,Internal!$B$26:$C$32,2,FALSE))</f>
        <v>7.5</v>
      </c>
      <c r="O84" s="46" t="str">
        <f>IF(ISBLANK(M84),"",M84*VLOOKUP($F84,Internal!$B$26:$C$32,2,FALSE))</f>
        <v/>
      </c>
      <c r="P84" s="40"/>
    </row>
    <row r="85" ht="14.25" spans="2:16">
      <c r="B85" s="38">
        <v>75</v>
      </c>
      <c r="C85" s="39" t="str">
        <f>IF(ISBLANK(D85),"",_xlfn.CONCAT("T",TEXT(B85,"0000"),"/",VLOOKUP(D85,Internal!$B$35:C$39,2,FALSE),IF(OR(D85="QA",D85="Revision"),_xlfn.CONCAT("/",H85),"")))</f>
        <v>T0075/D</v>
      </c>
      <c r="D85" s="40" t="s">
        <v>59</v>
      </c>
      <c r="E85" s="41" t="s">
        <v>70</v>
      </c>
      <c r="F85" s="41" t="s">
        <v>61</v>
      </c>
      <c r="G85" s="40" t="s">
        <v>67</v>
      </c>
      <c r="H85" s="41"/>
      <c r="I85" s="45">
        <v>46061.8333333333</v>
      </c>
      <c r="J85" s="45">
        <v>46068.8333333333</v>
      </c>
      <c r="K85" s="46" t="str">
        <f ca="1" t="shared" si="1"/>
        <v>Planned</v>
      </c>
      <c r="L85" s="47">
        <v>1</v>
      </c>
      <c r="M85" s="47"/>
      <c r="N85" s="46">
        <f>IF(ISBLANK(L85),"",L85*VLOOKUP($F85,Internal!$B$26:$C$32,2,FALSE))</f>
        <v>25</v>
      </c>
      <c r="O85" s="46" t="str">
        <f>IF(ISBLANK(M85),"",M85*VLOOKUP($F85,Internal!$B$26:$C$32,2,FALSE))</f>
        <v/>
      </c>
      <c r="P85" s="40" t="s">
        <v>119</v>
      </c>
    </row>
    <row r="86" ht="14.25" spans="2:16">
      <c r="B86" s="38">
        <v>76</v>
      </c>
      <c r="C86" s="39" t="str">
        <f>IF(ISBLANK(D86),"",_xlfn.CONCAT("T",TEXT(B86,"0000"),"/",VLOOKUP(D86,Internal!$B$35:C$39,2,FALSE),IF(OR(D86="QA",D86="Revision"),_xlfn.CONCAT("/",H86),"")))</f>
        <v>T0076/R/T0075/D</v>
      </c>
      <c r="D86" s="40" t="s">
        <v>74</v>
      </c>
      <c r="E86" s="41" t="s">
        <v>31</v>
      </c>
      <c r="F86" s="41" t="s">
        <v>75</v>
      </c>
      <c r="G86" s="40" t="s">
        <v>76</v>
      </c>
      <c r="H86" s="41" t="s">
        <v>120</v>
      </c>
      <c r="I86" s="45">
        <v>46061.8333333333</v>
      </c>
      <c r="J86" s="45">
        <v>46068.8333333333</v>
      </c>
      <c r="K86" s="46" t="str">
        <f ca="1" t="shared" si="1"/>
        <v>Planned</v>
      </c>
      <c r="L86" s="47">
        <v>0.25</v>
      </c>
      <c r="M86" s="47"/>
      <c r="N86" s="46">
        <f>IF(ISBLANK(L86),"",L86*VLOOKUP($F86,Internal!$B$26:$C$32,2,FALSE))</f>
        <v>7.5</v>
      </c>
      <c r="O86" s="46" t="str">
        <f>IF(ISBLANK(M86),"",M86*VLOOKUP($F86,Internal!$B$26:$C$32,2,FALSE))</f>
        <v/>
      </c>
      <c r="P86" s="40"/>
    </row>
    <row r="87" ht="14.25" spans="2:16">
      <c r="B87" s="38">
        <v>77</v>
      </c>
      <c r="C87" s="39" t="str">
        <f>IF(ISBLANK(D87),"",_xlfn.CONCAT("T",TEXT(B87,"0000"),"/",VLOOKUP(D87,Internal!$B$35:C$39,2,FALSE),IF(OR(D87="QA",D87="Revision"),_xlfn.CONCAT("/",H87),"")))</f>
        <v/>
      </c>
      <c r="D87" s="40"/>
      <c r="E87" s="41"/>
      <c r="F87" s="41"/>
      <c r="G87" s="40"/>
      <c r="H87" s="41"/>
      <c r="I87" s="45"/>
      <c r="J87" s="45"/>
      <c r="K87" s="46" t="str">
        <f ca="1" t="shared" ref="K76:K110" si="2">IF(OR(I87="",J87=""),"",IF(AND(J87&lt;&gt;"",I87&gt;=NOW()),"Planned",IF(AND(J87&lt;&gt;"",J87&lt;NOW()),"Completed","Ongoing")))</f>
        <v/>
      </c>
      <c r="L87" s="47"/>
      <c r="M87" s="47"/>
      <c r="N87" s="46" t="str">
        <f>IF(ISBLANK(L87),"",L87*VLOOKUP($F87,Internal!$B$26:$C$32,2,FALSE))</f>
        <v/>
      </c>
      <c r="O87" s="46" t="str">
        <f>IF(ISBLANK(M87),"",M87*VLOOKUP($F87,Internal!$B$26:$C$32,2,FALSE))</f>
        <v/>
      </c>
      <c r="P87" s="40"/>
    </row>
    <row r="88" ht="14.25" spans="2:16">
      <c r="B88" s="38">
        <v>78</v>
      </c>
      <c r="C88" s="39" t="str">
        <f>IF(ISBLANK(D88),"",_xlfn.CONCAT("T",TEXT(B88,"0000"),"/",VLOOKUP(D88,Internal!$B$35:C$39,2,FALSE),IF(OR(D88="QA",D88="Revision"),_xlfn.CONCAT("/",H88),"")))</f>
        <v/>
      </c>
      <c r="D88" s="40"/>
      <c r="E88" s="41"/>
      <c r="F88" s="41"/>
      <c r="G88" s="40"/>
      <c r="H88" s="41"/>
      <c r="I88" s="45"/>
      <c r="J88" s="45"/>
      <c r="K88" s="46" t="str">
        <f ca="1" t="shared" si="2"/>
        <v/>
      </c>
      <c r="L88" s="47"/>
      <c r="M88" s="47"/>
      <c r="N88" s="46" t="str">
        <f>IF(ISBLANK(L88),"",L88*VLOOKUP($F88,Internal!$B$26:$C$32,2,FALSE))</f>
        <v/>
      </c>
      <c r="O88" s="46" t="str">
        <f>IF(ISBLANK(M88),"",M88*VLOOKUP($F88,Internal!$B$26:$C$32,2,FALSE))</f>
        <v/>
      </c>
      <c r="P88" s="40"/>
    </row>
    <row r="89" ht="14.25" spans="2:16">
      <c r="B89" s="38">
        <v>79</v>
      </c>
      <c r="C89" s="39" t="str">
        <f>IF(ISBLANK(D89),"",_xlfn.CONCAT("T",TEXT(B89,"0000"),"/",VLOOKUP(D89,Internal!$B$35:C$39,2,FALSE),IF(OR(D89="QA",D89="Revision"),_xlfn.CONCAT("/",H89),"")))</f>
        <v/>
      </c>
      <c r="D89" s="40"/>
      <c r="E89" s="41"/>
      <c r="F89" s="41"/>
      <c r="G89" s="40"/>
      <c r="H89" s="41"/>
      <c r="I89" s="45"/>
      <c r="J89" s="45"/>
      <c r="K89" s="46" t="str">
        <f ca="1" t="shared" si="2"/>
        <v/>
      </c>
      <c r="L89" s="47"/>
      <c r="M89" s="47"/>
      <c r="N89" s="46" t="str">
        <f>IF(ISBLANK(L89),"",L89*VLOOKUP($F89,Internal!$B$26:$C$32,2,FALSE))</f>
        <v/>
      </c>
      <c r="O89" s="46" t="str">
        <f>IF(ISBLANK(M89),"",M89*VLOOKUP($F89,Internal!$B$26:$C$32,2,FALSE))</f>
        <v/>
      </c>
      <c r="P89" s="40"/>
    </row>
    <row r="90" ht="14.25" spans="2:16">
      <c r="B90" s="38">
        <v>80</v>
      </c>
      <c r="C90" s="39" t="str">
        <f>IF(ISBLANK(D90),"",_xlfn.CONCAT("T",TEXT(B90,"0000"),"/",VLOOKUP(D90,Internal!$B$35:C$39,2,FALSE),IF(OR(D90="QA",D90="Revision"),_xlfn.CONCAT("/",H90),"")))</f>
        <v/>
      </c>
      <c r="D90" s="40"/>
      <c r="E90" s="41"/>
      <c r="F90" s="41"/>
      <c r="G90" s="40"/>
      <c r="H90" s="41"/>
      <c r="I90" s="45"/>
      <c r="J90" s="45"/>
      <c r="K90" s="46" t="str">
        <f ca="1" t="shared" si="2"/>
        <v/>
      </c>
      <c r="L90" s="47"/>
      <c r="M90" s="47"/>
      <c r="N90" s="46" t="str">
        <f>IF(ISBLANK(L90),"",L90*VLOOKUP($F90,Internal!$B$26:$C$32,2,FALSE))</f>
        <v/>
      </c>
      <c r="O90" s="46" t="str">
        <f>IF(ISBLANK(M90),"",M90*VLOOKUP($F90,Internal!$B$26:$C$32,2,FALSE))</f>
        <v/>
      </c>
      <c r="P90" s="40"/>
    </row>
    <row r="91" ht="14.25" spans="2:16">
      <c r="B91" s="38">
        <v>81</v>
      </c>
      <c r="C91" s="39" t="str">
        <f>IF(ISBLANK(D91),"",_xlfn.CONCAT("T",TEXT(B91,"0000"),"/",VLOOKUP(D91,Internal!$B$35:C$39,2,FALSE),IF(OR(D91="QA",D91="Revision"),_xlfn.CONCAT("/",H91),"")))</f>
        <v/>
      </c>
      <c r="D91" s="40"/>
      <c r="E91" s="41"/>
      <c r="F91" s="41"/>
      <c r="G91" s="40"/>
      <c r="H91" s="41"/>
      <c r="I91" s="45"/>
      <c r="J91" s="45"/>
      <c r="K91" s="46" t="str">
        <f ca="1" t="shared" si="2"/>
        <v/>
      </c>
      <c r="L91" s="47"/>
      <c r="M91" s="47"/>
      <c r="N91" s="46" t="str">
        <f>IF(ISBLANK(L91),"",L91*VLOOKUP($F91,Internal!$B$26:$C$32,2,FALSE))</f>
        <v/>
      </c>
      <c r="O91" s="46" t="str">
        <f>IF(ISBLANK(M91),"",M91*VLOOKUP($F91,Internal!$B$26:$C$32,2,FALSE))</f>
        <v/>
      </c>
      <c r="P91" s="40"/>
    </row>
    <row r="92" ht="14.25" spans="2:16">
      <c r="B92" s="38">
        <v>82</v>
      </c>
      <c r="C92" s="39" t="str">
        <f>IF(ISBLANK(D92),"",_xlfn.CONCAT("T",TEXT(B92,"0000"),"/",VLOOKUP(D92,Internal!$B$35:C$39,2,FALSE),IF(OR(D92="QA",D92="Revision"),_xlfn.CONCAT("/",H92),"")))</f>
        <v/>
      </c>
      <c r="D92" s="40"/>
      <c r="E92" s="41"/>
      <c r="F92" s="41"/>
      <c r="G92" s="40"/>
      <c r="H92" s="41"/>
      <c r="I92" s="45"/>
      <c r="J92" s="45"/>
      <c r="K92" s="46" t="str">
        <f ca="1" t="shared" si="2"/>
        <v/>
      </c>
      <c r="L92" s="47"/>
      <c r="M92" s="47"/>
      <c r="N92" s="46" t="str">
        <f>IF(ISBLANK(L92),"",L92*VLOOKUP($F92,Internal!$B$26:$C$32,2,FALSE))</f>
        <v/>
      </c>
      <c r="O92" s="46" t="str">
        <f>IF(ISBLANK(M92),"",M92*VLOOKUP($F92,Internal!$B$26:$C$32,2,FALSE))</f>
        <v/>
      </c>
      <c r="P92" s="40"/>
    </row>
    <row r="93" ht="14.25" spans="2:16">
      <c r="B93" s="38">
        <v>83</v>
      </c>
      <c r="C93" s="39" t="str">
        <f>IF(ISBLANK(D93),"",_xlfn.CONCAT("T",TEXT(B93,"0000"),"/",VLOOKUP(D93,Internal!$B$35:C$39,2,FALSE),IF(OR(D93="QA",D93="Revision"),_xlfn.CONCAT("/",H93),"")))</f>
        <v/>
      </c>
      <c r="D93" s="40"/>
      <c r="E93" s="41"/>
      <c r="F93" s="41"/>
      <c r="G93" s="40"/>
      <c r="H93" s="41"/>
      <c r="I93" s="45"/>
      <c r="J93" s="45"/>
      <c r="K93" s="46" t="str">
        <f ca="1" t="shared" si="2"/>
        <v/>
      </c>
      <c r="L93" s="47"/>
      <c r="M93" s="47"/>
      <c r="N93" s="46" t="str">
        <f>IF(ISBLANK(L93),"",L93*VLOOKUP($F93,Internal!$B$26:$C$32,2,FALSE))</f>
        <v/>
      </c>
      <c r="O93" s="46" t="str">
        <f>IF(ISBLANK(M93),"",M93*VLOOKUP($F93,Internal!$B$26:$C$32,2,FALSE))</f>
        <v/>
      </c>
      <c r="P93" s="40"/>
    </row>
    <row r="94" ht="14.25" spans="2:16">
      <c r="B94" s="38">
        <v>84</v>
      </c>
      <c r="C94" s="39" t="str">
        <f>IF(ISBLANK(D94),"",_xlfn.CONCAT("T",TEXT(B94,"0000"),"/",VLOOKUP(D94,Internal!$B$35:C$39,2,FALSE),IF(OR(D94="QA",D94="Revision"),_xlfn.CONCAT("/",H94),"")))</f>
        <v/>
      </c>
      <c r="D94" s="40"/>
      <c r="E94" s="41"/>
      <c r="F94" s="41"/>
      <c r="G94" s="40"/>
      <c r="H94" s="41"/>
      <c r="I94" s="45"/>
      <c r="J94" s="45"/>
      <c r="K94" s="46" t="str">
        <f ca="1" t="shared" si="2"/>
        <v/>
      </c>
      <c r="L94" s="47"/>
      <c r="M94" s="47"/>
      <c r="N94" s="46" t="str">
        <f>IF(ISBLANK(L94),"",L94*VLOOKUP($F94,Internal!$B$26:$C$32,2,FALSE))</f>
        <v/>
      </c>
      <c r="O94" s="46" t="str">
        <f>IF(ISBLANK(M94),"",M94*VLOOKUP($F94,Internal!$B$26:$C$32,2,FALSE))</f>
        <v/>
      </c>
      <c r="P94" s="40"/>
    </row>
    <row r="95" ht="14.25" spans="2:16">
      <c r="B95" s="38">
        <v>85</v>
      </c>
      <c r="C95" s="39" t="str">
        <f>IF(ISBLANK(D95),"",_xlfn.CONCAT("T",TEXT(B95,"0000"),"/",VLOOKUP(D95,Internal!$B$35:C$39,2,FALSE),IF(OR(D95="QA",D95="Revision"),_xlfn.CONCAT("/",H95),"")))</f>
        <v/>
      </c>
      <c r="D95" s="40"/>
      <c r="E95" s="41"/>
      <c r="F95" s="41"/>
      <c r="G95" s="40"/>
      <c r="H95" s="41"/>
      <c r="I95" s="45"/>
      <c r="J95" s="45"/>
      <c r="K95" s="46" t="str">
        <f ca="1" t="shared" si="2"/>
        <v/>
      </c>
      <c r="L95" s="47"/>
      <c r="M95" s="47"/>
      <c r="N95" s="46" t="str">
        <f>IF(ISBLANK(L95),"",L95*VLOOKUP($F95,Internal!$B$26:$C$32,2,FALSE))</f>
        <v/>
      </c>
      <c r="O95" s="46" t="str">
        <f>IF(ISBLANK(M95),"",M95*VLOOKUP($F95,Internal!$B$26:$C$32,2,FALSE))</f>
        <v/>
      </c>
      <c r="P95" s="40"/>
    </row>
    <row r="96" ht="14.25" spans="2:16">
      <c r="B96" s="38">
        <v>86</v>
      </c>
      <c r="C96" s="39" t="str">
        <f>IF(ISBLANK(D96),"",_xlfn.CONCAT("T",TEXT(B96,"0000"),"/",VLOOKUP(D96,Internal!$B$35:C$39,2,FALSE),IF(OR(D96="QA",D96="Revision"),_xlfn.CONCAT("/",H96),"")))</f>
        <v/>
      </c>
      <c r="D96" s="40"/>
      <c r="E96" s="41"/>
      <c r="F96" s="41"/>
      <c r="G96" s="40"/>
      <c r="H96" s="41"/>
      <c r="I96" s="45"/>
      <c r="J96" s="45"/>
      <c r="K96" s="46" t="str">
        <f ca="1" t="shared" si="2"/>
        <v/>
      </c>
      <c r="L96" s="47"/>
      <c r="M96" s="47"/>
      <c r="N96" s="46" t="str">
        <f>IF(ISBLANK(L96),"",L96*VLOOKUP($F96,Internal!$B$26:$C$32,2,FALSE))</f>
        <v/>
      </c>
      <c r="O96" s="46" t="str">
        <f>IF(ISBLANK(M96),"",M96*VLOOKUP($F96,Internal!$B$26:$C$32,2,FALSE))</f>
        <v/>
      </c>
      <c r="P96" s="40"/>
    </row>
    <row r="97" ht="14.25" spans="2:16">
      <c r="B97" s="38">
        <v>87</v>
      </c>
      <c r="C97" s="39" t="str">
        <f>IF(ISBLANK(D97),"",_xlfn.CONCAT("T",TEXT(B97,"0000"),"/",VLOOKUP(D97,Internal!$B$35:C$39,2,FALSE),IF(OR(D97="QA",D97="Revision"),_xlfn.CONCAT("/",H97),"")))</f>
        <v/>
      </c>
      <c r="D97" s="40"/>
      <c r="E97" s="41"/>
      <c r="F97" s="41"/>
      <c r="G97" s="40"/>
      <c r="H97" s="41"/>
      <c r="I97" s="45"/>
      <c r="J97" s="45"/>
      <c r="K97" s="46" t="str">
        <f ca="1" t="shared" si="2"/>
        <v/>
      </c>
      <c r="L97" s="47"/>
      <c r="M97" s="47"/>
      <c r="N97" s="46" t="str">
        <f>IF(ISBLANK(L97),"",L97*VLOOKUP($F97,Internal!$B$26:$C$32,2,FALSE))</f>
        <v/>
      </c>
      <c r="O97" s="46" t="str">
        <f>IF(ISBLANK(M97),"",M97*VLOOKUP($F97,Internal!$B$26:$C$32,2,FALSE))</f>
        <v/>
      </c>
      <c r="P97" s="40"/>
    </row>
    <row r="98" ht="14.25" spans="2:16">
      <c r="B98" s="38">
        <v>88</v>
      </c>
      <c r="C98" s="39" t="str">
        <f>IF(ISBLANK(D98),"",_xlfn.CONCAT("T",TEXT(B98,"0000"),"/",VLOOKUP(D98,Internal!$B$35:C$39,2,FALSE),IF(OR(D98="QA",D98="Revision"),_xlfn.CONCAT("/",H98),"")))</f>
        <v/>
      </c>
      <c r="D98" s="40"/>
      <c r="E98" s="41"/>
      <c r="F98" s="41"/>
      <c r="G98" s="40"/>
      <c r="H98" s="41"/>
      <c r="I98" s="45"/>
      <c r="J98" s="45"/>
      <c r="K98" s="46" t="str">
        <f ca="1" t="shared" si="2"/>
        <v/>
      </c>
      <c r="L98" s="47"/>
      <c r="M98" s="47"/>
      <c r="N98" s="46" t="str">
        <f>IF(ISBLANK(L98),"",L98*VLOOKUP($F98,Internal!$B$26:$C$32,2,FALSE))</f>
        <v/>
      </c>
      <c r="O98" s="46" t="str">
        <f>IF(ISBLANK(M98),"",M98*VLOOKUP($F98,Internal!$B$26:$C$32,2,FALSE))</f>
        <v/>
      </c>
      <c r="P98" s="40"/>
    </row>
    <row r="99" ht="14.25" spans="2:16">
      <c r="B99" s="38">
        <v>89</v>
      </c>
      <c r="C99" s="39" t="str">
        <f>IF(ISBLANK(D99),"",_xlfn.CONCAT("T",TEXT(B99,"0000"),"/",VLOOKUP(D99,Internal!$B$35:C$39,2,FALSE),IF(OR(D99="QA",D99="Revision"),_xlfn.CONCAT("/",H99),"")))</f>
        <v/>
      </c>
      <c r="D99" s="40"/>
      <c r="E99" s="41"/>
      <c r="F99" s="41"/>
      <c r="G99" s="40"/>
      <c r="H99" s="41"/>
      <c r="I99" s="45"/>
      <c r="J99" s="45"/>
      <c r="K99" s="46" t="str">
        <f ca="1" t="shared" si="2"/>
        <v/>
      </c>
      <c r="L99" s="47"/>
      <c r="M99" s="47"/>
      <c r="N99" s="46" t="str">
        <f>IF(ISBLANK(L99),"",L99*VLOOKUP($F99,Internal!$B$26:$C$32,2,FALSE))</f>
        <v/>
      </c>
      <c r="O99" s="46" t="str">
        <f>IF(ISBLANK(M99),"",M99*VLOOKUP($F99,Internal!$B$26:$C$32,2,FALSE))</f>
        <v/>
      </c>
      <c r="P99" s="40"/>
    </row>
    <row r="100" ht="14.25" spans="2:16">
      <c r="B100" s="38">
        <v>90</v>
      </c>
      <c r="C100" s="39" t="str">
        <f>IF(ISBLANK(D100),"",_xlfn.CONCAT("T",TEXT(B100,"0000"),"/",VLOOKUP(D100,Internal!$B$35:C$39,2,FALSE),IF(OR(D100="QA",D100="Revision"),_xlfn.CONCAT("/",H100),"")))</f>
        <v/>
      </c>
      <c r="D100" s="40"/>
      <c r="E100" s="41"/>
      <c r="F100" s="41"/>
      <c r="G100" s="40"/>
      <c r="H100" s="41"/>
      <c r="I100" s="45"/>
      <c r="J100" s="45"/>
      <c r="K100" s="46" t="str">
        <f ca="1" t="shared" si="2"/>
        <v/>
      </c>
      <c r="L100" s="47"/>
      <c r="M100" s="47"/>
      <c r="N100" s="46" t="str">
        <f>IF(ISBLANK(L100),"",L100*VLOOKUP($F100,Internal!$B$26:$C$32,2,FALSE))</f>
        <v/>
      </c>
      <c r="O100" s="46" t="str">
        <f>IF(ISBLANK(M100),"",M100*VLOOKUP($F100,Internal!$B$26:$C$32,2,FALSE))</f>
        <v/>
      </c>
      <c r="P100" s="40"/>
    </row>
    <row r="101" ht="14.25" spans="2:16">
      <c r="B101" s="38">
        <v>91</v>
      </c>
      <c r="C101" s="39" t="str">
        <f>IF(ISBLANK(D101),"",_xlfn.CONCAT("T",TEXT(B101,"0000"),"/",VLOOKUP(D101,Internal!$B$35:C$39,2,FALSE),IF(OR(D101="QA",D101="Revision"),_xlfn.CONCAT("/",H101),"")))</f>
        <v/>
      </c>
      <c r="D101" s="40"/>
      <c r="E101" s="41"/>
      <c r="F101" s="41"/>
      <c r="G101" s="40"/>
      <c r="H101" s="41"/>
      <c r="I101" s="45"/>
      <c r="J101" s="45"/>
      <c r="K101" s="46" t="str">
        <f ca="1" t="shared" si="2"/>
        <v/>
      </c>
      <c r="L101" s="47"/>
      <c r="M101" s="47"/>
      <c r="N101" s="46" t="str">
        <f>IF(ISBLANK(L101),"",L101*VLOOKUP($F101,Internal!$B$26:$C$32,2,FALSE))</f>
        <v/>
      </c>
      <c r="O101" s="46" t="str">
        <f>IF(ISBLANK(M101),"",M101*VLOOKUP($F101,Internal!$B$26:$C$32,2,FALSE))</f>
        <v/>
      </c>
      <c r="P101" s="40"/>
    </row>
    <row r="102" ht="14.25" spans="2:16">
      <c r="B102" s="38">
        <v>92</v>
      </c>
      <c r="C102" s="39" t="str">
        <f>IF(ISBLANK(D102),"",_xlfn.CONCAT("T",TEXT(B102,"0000"),"/",VLOOKUP(D102,Internal!$B$35:C$39,2,FALSE),IF(OR(D102="QA",D102="Revision"),_xlfn.CONCAT("/",H102),"")))</f>
        <v/>
      </c>
      <c r="D102" s="40"/>
      <c r="E102" s="41"/>
      <c r="F102" s="41"/>
      <c r="G102" s="40"/>
      <c r="H102" s="41"/>
      <c r="I102" s="45"/>
      <c r="J102" s="45"/>
      <c r="K102" s="46" t="str">
        <f ca="1" t="shared" si="2"/>
        <v/>
      </c>
      <c r="L102" s="47"/>
      <c r="M102" s="47"/>
      <c r="N102" s="46" t="str">
        <f>IF(ISBLANK(L102),"",L102*VLOOKUP($F102,Internal!$B$26:$C$32,2,FALSE))</f>
        <v/>
      </c>
      <c r="O102" s="46" t="str">
        <f>IF(ISBLANK(M102),"",M102*VLOOKUP($F102,Internal!$B$26:$C$32,2,FALSE))</f>
        <v/>
      </c>
      <c r="P102" s="40"/>
    </row>
    <row r="103" ht="14.25" spans="2:16">
      <c r="B103" s="38">
        <v>93</v>
      </c>
      <c r="C103" s="39" t="str">
        <f>IF(ISBLANK(D103),"",_xlfn.CONCAT("T",TEXT(B103,"0000"),"/",VLOOKUP(D103,Internal!$B$35:C$39,2,FALSE),IF(OR(D103="QA",D103="Revision"),_xlfn.CONCAT("/",H103),"")))</f>
        <v/>
      </c>
      <c r="D103" s="40"/>
      <c r="E103" s="41"/>
      <c r="F103" s="41"/>
      <c r="G103" s="40"/>
      <c r="H103" s="41"/>
      <c r="I103" s="45"/>
      <c r="J103" s="45"/>
      <c r="K103" s="46" t="str">
        <f ca="1" t="shared" si="2"/>
        <v/>
      </c>
      <c r="L103" s="47"/>
      <c r="M103" s="47"/>
      <c r="N103" s="46" t="str">
        <f>IF(ISBLANK(L103),"",L103*VLOOKUP($F103,Internal!$B$26:$C$32,2,FALSE))</f>
        <v/>
      </c>
      <c r="O103" s="46" t="str">
        <f>IF(ISBLANK(M103),"",M103*VLOOKUP($F103,Internal!$B$26:$C$32,2,FALSE))</f>
        <v/>
      </c>
      <c r="P103" s="40"/>
    </row>
    <row r="104" ht="14.25" spans="2:16">
      <c r="B104" s="38">
        <v>94</v>
      </c>
      <c r="C104" s="39" t="str">
        <f>IF(ISBLANK(D104),"",_xlfn.CONCAT("T",TEXT(B104,"0000"),"/",VLOOKUP(D104,Internal!$B$35:C$39,2,FALSE),IF(OR(D104="QA",D104="Revision"),_xlfn.CONCAT("/",H104),"")))</f>
        <v/>
      </c>
      <c r="D104" s="40"/>
      <c r="E104" s="41"/>
      <c r="F104" s="41"/>
      <c r="G104" s="40"/>
      <c r="H104" s="41"/>
      <c r="I104" s="45"/>
      <c r="J104" s="45"/>
      <c r="K104" s="46" t="str">
        <f ca="1" t="shared" si="2"/>
        <v/>
      </c>
      <c r="L104" s="47"/>
      <c r="M104" s="47"/>
      <c r="N104" s="46" t="str">
        <f>IF(ISBLANK(L104),"",L104*VLOOKUP($F104,Internal!$B$26:$C$32,2,FALSE))</f>
        <v/>
      </c>
      <c r="O104" s="46" t="str">
        <f>IF(ISBLANK(M104),"",M104*VLOOKUP($F104,Internal!$B$26:$C$32,2,FALSE))</f>
        <v/>
      </c>
      <c r="P104" s="40"/>
    </row>
    <row r="105" ht="14.25" spans="2:16">
      <c r="B105" s="38">
        <v>95</v>
      </c>
      <c r="C105" s="39" t="str">
        <f>IF(ISBLANK(D105),"",_xlfn.CONCAT("T",TEXT(B105,"0000"),"/",VLOOKUP(D105,Internal!$B$35:C$39,2,FALSE),IF(OR(D105="QA",D105="Revision"),_xlfn.CONCAT("/",H105),"")))</f>
        <v/>
      </c>
      <c r="D105" s="40"/>
      <c r="E105" s="41"/>
      <c r="F105" s="41"/>
      <c r="G105" s="40"/>
      <c r="H105" s="41"/>
      <c r="I105" s="45"/>
      <c r="J105" s="45"/>
      <c r="K105" s="46" t="str">
        <f ca="1" t="shared" si="2"/>
        <v/>
      </c>
      <c r="L105" s="47"/>
      <c r="M105" s="47"/>
      <c r="N105" s="46" t="str">
        <f>IF(ISBLANK(L105),"",L105*VLOOKUP($F105,Internal!$B$26:$C$32,2,FALSE))</f>
        <v/>
      </c>
      <c r="O105" s="46" t="str">
        <f>IF(ISBLANK(M105),"",M105*VLOOKUP($F105,Internal!$B$26:$C$32,2,FALSE))</f>
        <v/>
      </c>
      <c r="P105" s="40"/>
    </row>
    <row r="106" ht="14.25" spans="2:16">
      <c r="B106" s="38">
        <v>96</v>
      </c>
      <c r="C106" s="39" t="str">
        <f>IF(ISBLANK(D106),"",_xlfn.CONCAT("T",TEXT(B106,"0000"),"/",VLOOKUP(D106,Internal!$B$35:C$39,2,FALSE),IF(OR(D106="QA",D106="Revision"),_xlfn.CONCAT("/",H106),"")))</f>
        <v/>
      </c>
      <c r="D106" s="40"/>
      <c r="E106" s="41"/>
      <c r="F106" s="41"/>
      <c r="G106" s="40"/>
      <c r="H106" s="41"/>
      <c r="I106" s="45"/>
      <c r="J106" s="45"/>
      <c r="K106" s="46" t="str">
        <f ca="1" t="shared" si="2"/>
        <v/>
      </c>
      <c r="L106" s="47"/>
      <c r="M106" s="47"/>
      <c r="N106" s="46" t="str">
        <f>IF(ISBLANK(L106),"",L106*VLOOKUP($F106,Internal!$B$26:$C$32,2,FALSE))</f>
        <v/>
      </c>
      <c r="O106" s="46" t="str">
        <f>IF(ISBLANK(M106),"",M106*VLOOKUP($F106,Internal!$B$26:$C$32,2,FALSE))</f>
        <v/>
      </c>
      <c r="P106" s="40"/>
    </row>
    <row r="107" ht="14.25" spans="2:16">
      <c r="B107" s="38">
        <v>97</v>
      </c>
      <c r="C107" s="39" t="str">
        <f>IF(ISBLANK(D107),"",_xlfn.CONCAT("T",TEXT(B107,"0000"),"/",VLOOKUP(D107,Internal!$B$35:C$39,2,FALSE),IF(OR(D107="QA",D107="Revision"),_xlfn.CONCAT("/",H107),"")))</f>
        <v/>
      </c>
      <c r="D107" s="40"/>
      <c r="E107" s="41"/>
      <c r="F107" s="41"/>
      <c r="G107" s="40"/>
      <c r="H107" s="41"/>
      <c r="I107" s="45"/>
      <c r="J107" s="45"/>
      <c r="K107" s="46" t="str">
        <f ca="1" t="shared" si="2"/>
        <v/>
      </c>
      <c r="L107" s="47"/>
      <c r="M107" s="47"/>
      <c r="N107" s="46" t="str">
        <f>IF(ISBLANK(L107),"",L107*VLOOKUP($F107,Internal!$B$26:$C$32,2,FALSE))</f>
        <v/>
      </c>
      <c r="O107" s="46" t="str">
        <f>IF(ISBLANK(M107),"",M107*VLOOKUP($F107,Internal!$B$26:$C$32,2,FALSE))</f>
        <v/>
      </c>
      <c r="P107" s="40"/>
    </row>
    <row r="108" ht="14.25" spans="2:16">
      <c r="B108" s="38">
        <v>98</v>
      </c>
      <c r="C108" s="39" t="str">
        <f>IF(ISBLANK(D108),"",_xlfn.CONCAT("T",TEXT(B108,"0000"),"/",VLOOKUP(D108,Internal!$B$35:C$39,2,FALSE),IF(OR(D108="QA",D108="Revision"),_xlfn.CONCAT("/",H108),"")))</f>
        <v/>
      </c>
      <c r="D108" s="40"/>
      <c r="E108" s="41"/>
      <c r="F108" s="41"/>
      <c r="G108" s="40"/>
      <c r="H108" s="41"/>
      <c r="I108" s="45"/>
      <c r="J108" s="45"/>
      <c r="K108" s="46" t="str">
        <f ca="1" t="shared" si="2"/>
        <v/>
      </c>
      <c r="L108" s="47"/>
      <c r="M108" s="47"/>
      <c r="N108" s="46" t="str">
        <f>IF(ISBLANK(L108),"",L108*VLOOKUP($F108,Internal!$B$26:$C$32,2,FALSE))</f>
        <v/>
      </c>
      <c r="O108" s="46" t="str">
        <f>IF(ISBLANK(M108),"",M108*VLOOKUP($F108,Internal!$B$26:$C$32,2,FALSE))</f>
        <v/>
      </c>
      <c r="P108" s="40"/>
    </row>
    <row r="109" ht="14.25" spans="2:16">
      <c r="B109" s="38">
        <v>99</v>
      </c>
      <c r="C109" s="39" t="str">
        <f>IF(ISBLANK(D109),"",_xlfn.CONCAT("T",TEXT(B109,"0000"),"/",VLOOKUP(D109,Internal!$B$35:C$39,2,FALSE),IF(OR(D109="QA",D109="Revision"),_xlfn.CONCAT("/",H109),"")))</f>
        <v/>
      </c>
      <c r="D109" s="40"/>
      <c r="E109" s="41"/>
      <c r="F109" s="41"/>
      <c r="G109" s="40"/>
      <c r="H109" s="41"/>
      <c r="I109" s="45"/>
      <c r="J109" s="45"/>
      <c r="K109" s="46" t="str">
        <f ca="1" t="shared" si="2"/>
        <v/>
      </c>
      <c r="L109" s="47"/>
      <c r="M109" s="47"/>
      <c r="N109" s="46" t="str">
        <f>IF(ISBLANK(L109),"",L109*VLOOKUP($F109,Internal!$B$26:$C$32,2,FALSE))</f>
        <v/>
      </c>
      <c r="O109" s="46" t="str">
        <f>IF(ISBLANK(M109),"",M109*VLOOKUP($F109,Internal!$B$26:$C$32,2,FALSE))</f>
        <v/>
      </c>
      <c r="P109" s="40"/>
    </row>
    <row r="110" ht="14.25" spans="2:16">
      <c r="B110" s="38">
        <v>100</v>
      </c>
      <c r="C110" s="39" t="str">
        <f>IF(ISBLANK(D110),"",_xlfn.CONCAT("T",TEXT(B110,"0000"),"/",VLOOKUP(D110,Internal!$B$35:C$39,2,FALSE),IF(OR(D110="QA",D110="Revision"),_xlfn.CONCAT("/",H110),"")))</f>
        <v/>
      </c>
      <c r="D110" s="40"/>
      <c r="E110" s="41"/>
      <c r="F110" s="41"/>
      <c r="G110" s="40"/>
      <c r="H110" s="41"/>
      <c r="I110" s="45"/>
      <c r="J110" s="45"/>
      <c r="K110" s="46" t="str">
        <f ca="1" t="shared" si="2"/>
        <v/>
      </c>
      <c r="L110" s="47"/>
      <c r="M110" s="47"/>
      <c r="N110" s="46" t="str">
        <f>IF(ISBLANK(L110),"",L110*VLOOKUP($F110,Internal!$B$26:$C$32,2,FALSE))</f>
        <v/>
      </c>
      <c r="O110" s="46" t="str">
        <f>IF(ISBLANK(M110),"",M110*VLOOKUP($F110,Internal!$B$26:$C$32,2,FALSE))</f>
        <v/>
      </c>
      <c r="P110" s="40"/>
    </row>
  </sheetData>
  <mergeCells count="6">
    <mergeCell ref="C2:P2"/>
    <mergeCell ref="C4:P4"/>
    <mergeCell ref="I9:J9"/>
    <mergeCell ref="L9:M9"/>
    <mergeCell ref="N9:O9"/>
    <mergeCell ref="C6:C7"/>
  </mergeCells>
  <conditionalFormatting sqref="H11">
    <cfRule type="expression" dxfId="0" priority="83">
      <formula>AND(H11&lt;&gt;"",COUNTIF($C$11:$C$110,H11)=0)</formula>
    </cfRule>
  </conditionalFormatting>
  <conditionalFormatting sqref="J11">
    <cfRule type="expression" dxfId="1" priority="82">
      <formula>AND(I11&lt;&gt;"",J11&lt;&gt;"",I11&gt;J11)</formula>
    </cfRule>
  </conditionalFormatting>
  <conditionalFormatting sqref="H35">
    <cfRule type="expression" dxfId="0" priority="81">
      <formula>AND(H35&lt;&gt;"",COUNTIF($C$11:$C$110,H35)=0)</formula>
    </cfRule>
  </conditionalFormatting>
  <conditionalFormatting sqref="J35">
    <cfRule type="expression" dxfId="1" priority="80">
      <formula>AND(I35&lt;&gt;"",J35&lt;&gt;"",I35&gt;J35)</formula>
    </cfRule>
  </conditionalFormatting>
  <conditionalFormatting sqref="J38">
    <cfRule type="expression" dxfId="1" priority="79">
      <formula>AND(I38&lt;&gt;"",J38&lt;&gt;"",I38&gt;J38)</formula>
    </cfRule>
  </conditionalFormatting>
  <conditionalFormatting sqref="J46">
    <cfRule type="expression" dxfId="1" priority="78">
      <formula>AND(I46&lt;&gt;"",J46&lt;&gt;"",I46&gt;J46)</formula>
    </cfRule>
  </conditionalFormatting>
  <conditionalFormatting sqref="J47">
    <cfRule type="expression" dxfId="1" priority="77">
      <formula>AND(I47&lt;&gt;"",J47&lt;&gt;"",I47&gt;J47)</formula>
    </cfRule>
  </conditionalFormatting>
  <conditionalFormatting sqref="H48">
    <cfRule type="expression" dxfId="0" priority="76">
      <formula>AND(H48&lt;&gt;"",COUNTIF($C$11:$C$110,H48)=0)</formula>
    </cfRule>
  </conditionalFormatting>
  <conditionalFormatting sqref="J48">
    <cfRule type="expression" dxfId="1" priority="75">
      <formula>AND(I48&lt;&gt;"",J48&lt;&gt;"",I48&gt;J48)</formula>
    </cfRule>
  </conditionalFormatting>
  <conditionalFormatting sqref="H49">
    <cfRule type="expression" dxfId="0" priority="74">
      <formula>AND(H49&lt;&gt;"",COUNTIF($C$11:$C$110,H49)=0)</formula>
    </cfRule>
  </conditionalFormatting>
  <conditionalFormatting sqref="J49">
    <cfRule type="expression" dxfId="1" priority="73">
      <formula>AND(I49&lt;&gt;"",J49&lt;&gt;"",I49&gt;J49)</formula>
    </cfRule>
  </conditionalFormatting>
  <conditionalFormatting sqref="H50">
    <cfRule type="expression" dxfId="0" priority="72">
      <formula>AND(H50&lt;&gt;"",COUNTIF($C$11:$C$110,H50)=0)</formula>
    </cfRule>
  </conditionalFormatting>
  <conditionalFormatting sqref="J50">
    <cfRule type="expression" dxfId="1" priority="71">
      <formula>AND(I50&lt;&gt;"",J50&lt;&gt;"",I50&gt;J50)</formula>
    </cfRule>
  </conditionalFormatting>
  <conditionalFormatting sqref="J51">
    <cfRule type="expression" dxfId="1" priority="70">
      <formula>AND(I51&lt;&gt;"",J51&lt;&gt;"",I51&gt;J51)</formula>
    </cfRule>
  </conditionalFormatting>
  <conditionalFormatting sqref="J52">
    <cfRule type="expression" dxfId="1" priority="69">
      <formula>AND(I52&lt;&gt;"",J52&lt;&gt;"",I52&gt;J52)</formula>
    </cfRule>
  </conditionalFormatting>
  <conditionalFormatting sqref="H53">
    <cfRule type="expression" dxfId="0" priority="68">
      <formula>AND(H53&lt;&gt;"",COUNTIF($C$11:$C$110,H53)=0)</formula>
    </cfRule>
  </conditionalFormatting>
  <conditionalFormatting sqref="J53">
    <cfRule type="expression" dxfId="1" priority="67">
      <formula>AND(I53&lt;&gt;"",J53&lt;&gt;"",I53&gt;J53)</formula>
    </cfRule>
  </conditionalFormatting>
  <conditionalFormatting sqref="H54">
    <cfRule type="expression" dxfId="0" priority="66">
      <formula>AND(H54&lt;&gt;"",COUNTIF($C$11:$C$110,H54)=0)</formula>
    </cfRule>
  </conditionalFormatting>
  <conditionalFormatting sqref="J54">
    <cfRule type="expression" dxfId="1" priority="65">
      <formula>AND(I54&lt;&gt;"",J54&lt;&gt;"",I54&gt;J54)</formula>
    </cfRule>
  </conditionalFormatting>
  <conditionalFormatting sqref="H55">
    <cfRule type="expression" dxfId="0" priority="64">
      <formula>AND(H55&lt;&gt;"",COUNTIF($C$11:$C$110,H55)=0)</formula>
    </cfRule>
  </conditionalFormatting>
  <conditionalFormatting sqref="J55">
    <cfRule type="expression" dxfId="1" priority="63">
      <formula>AND(I55&lt;&gt;"",J55&lt;&gt;"",I55&gt;J55)</formula>
    </cfRule>
  </conditionalFormatting>
  <conditionalFormatting sqref="H56">
    <cfRule type="expression" dxfId="0" priority="62">
      <formula>AND(H56&lt;&gt;"",COUNTIF($C$11:$C$110,H56)=0)</formula>
    </cfRule>
  </conditionalFormatting>
  <conditionalFormatting sqref="J56">
    <cfRule type="expression" dxfId="1" priority="61">
      <formula>AND(I56&lt;&gt;"",J56&lt;&gt;"",I56&gt;J56)</formula>
    </cfRule>
  </conditionalFormatting>
  <conditionalFormatting sqref="H57">
    <cfRule type="expression" dxfId="0" priority="60">
      <formula>AND(H57&lt;&gt;"",COUNTIF($C$11:$C$110,H57)=0)</formula>
    </cfRule>
  </conditionalFormatting>
  <conditionalFormatting sqref="J57">
    <cfRule type="expression" dxfId="1" priority="59">
      <formula>AND(I57&lt;&gt;"",J57&lt;&gt;"",I57&gt;J57)</formula>
    </cfRule>
  </conditionalFormatting>
  <conditionalFormatting sqref="H58">
    <cfRule type="expression" dxfId="0" priority="58">
      <formula>AND(H58&lt;&gt;"",COUNTIF($C$11:$C$110,H58)=0)</formula>
    </cfRule>
  </conditionalFormatting>
  <conditionalFormatting sqref="J58">
    <cfRule type="expression" dxfId="1" priority="57">
      <formula>AND(I58&lt;&gt;"",J58&lt;&gt;"",I58&gt;J58)</formula>
    </cfRule>
  </conditionalFormatting>
  <conditionalFormatting sqref="H59">
    <cfRule type="expression" dxfId="0" priority="56">
      <formula>AND(H59&lt;&gt;"",COUNTIF($C$11:$C$110,H59)=0)</formula>
    </cfRule>
  </conditionalFormatting>
  <conditionalFormatting sqref="J59">
    <cfRule type="expression" dxfId="1" priority="55">
      <formula>AND(I59&lt;&gt;"",J59&lt;&gt;"",I59&gt;J59)</formula>
    </cfRule>
  </conditionalFormatting>
  <conditionalFormatting sqref="H60">
    <cfRule type="expression" dxfId="0" priority="54">
      <formula>AND(H60&lt;&gt;"",COUNTIF($C$11:$C$110,H60)=0)</formula>
    </cfRule>
  </conditionalFormatting>
  <conditionalFormatting sqref="J60">
    <cfRule type="expression" dxfId="1" priority="53">
      <formula>AND(I60&lt;&gt;"",J60&lt;&gt;"",I60&gt;J60)</formula>
    </cfRule>
  </conditionalFormatting>
  <conditionalFormatting sqref="H61">
    <cfRule type="expression" dxfId="0" priority="52">
      <formula>AND(H61&lt;&gt;"",COUNTIF($C$11:$C$110,H61)=0)</formula>
    </cfRule>
  </conditionalFormatting>
  <conditionalFormatting sqref="J61">
    <cfRule type="expression" dxfId="1" priority="51">
      <formula>AND(I61&lt;&gt;"",J61&lt;&gt;"",I61&gt;J61)</formula>
    </cfRule>
  </conditionalFormatting>
  <conditionalFormatting sqref="H62">
    <cfRule type="expression" dxfId="0" priority="50">
      <formula>AND(H62&lt;&gt;"",COUNTIF($C$11:$C$110,H62)=0)</formula>
    </cfRule>
  </conditionalFormatting>
  <conditionalFormatting sqref="J62">
    <cfRule type="expression" dxfId="1" priority="49">
      <formula>AND(I62&lt;&gt;"",J62&lt;&gt;"",I62&gt;J62)</formula>
    </cfRule>
  </conditionalFormatting>
  <conditionalFormatting sqref="H63">
    <cfRule type="expression" dxfId="0" priority="48">
      <formula>AND(H63&lt;&gt;"",COUNTIF($C$11:$C$110,H63)=0)</formula>
    </cfRule>
  </conditionalFormatting>
  <conditionalFormatting sqref="J63">
    <cfRule type="expression" dxfId="1" priority="47">
      <formula>AND(I63&lt;&gt;"",J63&lt;&gt;"",I63&gt;J63)</formula>
    </cfRule>
  </conditionalFormatting>
  <conditionalFormatting sqref="H64">
    <cfRule type="expression" dxfId="0" priority="46">
      <formula>AND(H64&lt;&gt;"",COUNTIF($C$11:$C$110,H64)=0)</formula>
    </cfRule>
  </conditionalFormatting>
  <conditionalFormatting sqref="J64">
    <cfRule type="expression" dxfId="1" priority="45">
      <formula>AND(I64&lt;&gt;"",J64&lt;&gt;"",I64&gt;J64)</formula>
    </cfRule>
  </conditionalFormatting>
  <conditionalFormatting sqref="H65">
    <cfRule type="expression" dxfId="0" priority="44">
      <formula>AND(H65&lt;&gt;"",COUNTIF($C$11:$C$110,H65)=0)</formula>
    </cfRule>
  </conditionalFormatting>
  <conditionalFormatting sqref="J65">
    <cfRule type="expression" dxfId="1" priority="43">
      <formula>AND(I65&lt;&gt;"",J65&lt;&gt;"",I65&gt;J65)</formula>
    </cfRule>
  </conditionalFormatting>
  <conditionalFormatting sqref="H66">
    <cfRule type="expression" dxfId="0" priority="42">
      <formula>AND(H66&lt;&gt;"",COUNTIF($C$11:$C$110,H66)=0)</formula>
    </cfRule>
  </conditionalFormatting>
  <conditionalFormatting sqref="J66">
    <cfRule type="expression" dxfId="1" priority="41">
      <formula>AND(I66&lt;&gt;"",J66&lt;&gt;"",I66&gt;J66)</formula>
    </cfRule>
  </conditionalFormatting>
  <conditionalFormatting sqref="H67">
    <cfRule type="expression" dxfId="0" priority="40">
      <formula>AND(H67&lt;&gt;"",COUNTIF($C$11:$C$110,H67)=0)</formula>
    </cfRule>
  </conditionalFormatting>
  <conditionalFormatting sqref="J67">
    <cfRule type="expression" dxfId="1" priority="39">
      <formula>AND(I67&lt;&gt;"",J67&lt;&gt;"",I67&gt;J67)</formula>
    </cfRule>
  </conditionalFormatting>
  <conditionalFormatting sqref="H68">
    <cfRule type="expression" dxfId="0" priority="38">
      <formula>AND(H68&lt;&gt;"",COUNTIF($C$11:$C$110,H68)=0)</formula>
    </cfRule>
  </conditionalFormatting>
  <conditionalFormatting sqref="J68">
    <cfRule type="expression" dxfId="1" priority="37">
      <formula>AND(I68&lt;&gt;"",J68&lt;&gt;"",I68&gt;J68)</formula>
    </cfRule>
  </conditionalFormatting>
  <conditionalFormatting sqref="H69">
    <cfRule type="expression" dxfId="0" priority="36">
      <formula>AND(H69&lt;&gt;"",COUNTIF($C$11:$C$110,H69)=0)</formula>
    </cfRule>
  </conditionalFormatting>
  <conditionalFormatting sqref="J69">
    <cfRule type="expression" dxfId="1" priority="35">
      <formula>AND(I69&lt;&gt;"",J69&lt;&gt;"",I69&gt;J69)</formula>
    </cfRule>
  </conditionalFormatting>
  <conditionalFormatting sqref="H70">
    <cfRule type="expression" dxfId="0" priority="34">
      <formula>AND(H70&lt;&gt;"",COUNTIF($C$11:$C$110,H70)=0)</formula>
    </cfRule>
  </conditionalFormatting>
  <conditionalFormatting sqref="J70">
    <cfRule type="expression" dxfId="1" priority="33">
      <formula>AND(I70&lt;&gt;"",J70&lt;&gt;"",I70&gt;J70)</formula>
    </cfRule>
  </conditionalFormatting>
  <conditionalFormatting sqref="H71">
    <cfRule type="expression" dxfId="0" priority="32">
      <formula>AND(H71&lt;&gt;"",COUNTIF($C$11:$C$110,H71)=0)</formula>
    </cfRule>
  </conditionalFormatting>
  <conditionalFormatting sqref="J71">
    <cfRule type="expression" dxfId="1" priority="31">
      <formula>AND(I71&lt;&gt;"",J71&lt;&gt;"",I71&gt;J71)</formula>
    </cfRule>
  </conditionalFormatting>
  <conditionalFormatting sqref="H72">
    <cfRule type="expression" dxfId="0" priority="30">
      <formula>AND(H72&lt;&gt;"",COUNTIF($C$11:$C$110,H72)=0)</formula>
    </cfRule>
  </conditionalFormatting>
  <conditionalFormatting sqref="J72">
    <cfRule type="expression" dxfId="1" priority="29">
      <formula>AND(I72&lt;&gt;"",J72&lt;&gt;"",I72&gt;J72)</formula>
    </cfRule>
  </conditionalFormatting>
  <conditionalFormatting sqref="H73">
    <cfRule type="expression" dxfId="0" priority="28">
      <formula>AND(H73&lt;&gt;"",COUNTIF($C$11:$C$110,H73)=0)</formula>
    </cfRule>
  </conditionalFormatting>
  <conditionalFormatting sqref="J73">
    <cfRule type="expression" dxfId="1" priority="27">
      <formula>AND(I73&lt;&gt;"",J73&lt;&gt;"",I73&gt;J73)</formula>
    </cfRule>
  </conditionalFormatting>
  <conditionalFormatting sqref="H74">
    <cfRule type="expression" dxfId="0" priority="26">
      <formula>AND(H74&lt;&gt;"",COUNTIF($C$11:$C$110,H74)=0)</formula>
    </cfRule>
  </conditionalFormatting>
  <conditionalFormatting sqref="J74">
    <cfRule type="expression" dxfId="1" priority="25">
      <formula>AND(I74&lt;&gt;"",J74&lt;&gt;"",I74&gt;J74)</formula>
    </cfRule>
  </conditionalFormatting>
  <conditionalFormatting sqref="H75">
    <cfRule type="expression" dxfId="0" priority="24">
      <formula>AND(H75&lt;&gt;"",COUNTIF($C$11:$C$110,H75)=0)</formula>
    </cfRule>
  </conditionalFormatting>
  <conditionalFormatting sqref="J75">
    <cfRule type="expression" dxfId="1" priority="23">
      <formula>AND(I75&lt;&gt;"",J75&lt;&gt;"",I75&gt;J75)</formula>
    </cfRule>
  </conditionalFormatting>
  <conditionalFormatting sqref="H76">
    <cfRule type="expression" dxfId="0" priority="22">
      <formula>AND(H76&lt;&gt;"",COUNTIF($C$11:$C$110,H76)=0)</formula>
    </cfRule>
  </conditionalFormatting>
  <conditionalFormatting sqref="J76">
    <cfRule type="expression" dxfId="1" priority="21">
      <formula>AND(I76&lt;&gt;"",J76&lt;&gt;"",I76&gt;J76)</formula>
    </cfRule>
  </conditionalFormatting>
  <conditionalFormatting sqref="H77">
    <cfRule type="expression" dxfId="0" priority="20">
      <formula>AND(H77&lt;&gt;"",COUNTIF($C$11:$C$110,H77)=0)</formula>
    </cfRule>
  </conditionalFormatting>
  <conditionalFormatting sqref="J77">
    <cfRule type="expression" dxfId="1" priority="19">
      <formula>AND(I77&lt;&gt;"",J77&lt;&gt;"",I77&gt;J77)</formula>
    </cfRule>
  </conditionalFormatting>
  <conditionalFormatting sqref="H78">
    <cfRule type="expression" dxfId="0" priority="18">
      <formula>AND(H78&lt;&gt;"",COUNTIF($C$11:$C$110,H78)=0)</formula>
    </cfRule>
  </conditionalFormatting>
  <conditionalFormatting sqref="J78">
    <cfRule type="expression" dxfId="1" priority="17">
      <formula>AND(I78&lt;&gt;"",J78&lt;&gt;"",I78&gt;J78)</formula>
    </cfRule>
  </conditionalFormatting>
  <conditionalFormatting sqref="H79">
    <cfRule type="expression" dxfId="0" priority="16">
      <formula>AND(H79&lt;&gt;"",COUNTIF($C$11:$C$110,H79)=0)</formula>
    </cfRule>
  </conditionalFormatting>
  <conditionalFormatting sqref="J79">
    <cfRule type="expression" dxfId="1" priority="15">
      <formula>AND(I79&lt;&gt;"",J79&lt;&gt;"",I79&gt;J79)</formula>
    </cfRule>
  </conditionalFormatting>
  <conditionalFormatting sqref="H80">
    <cfRule type="expression" dxfId="0" priority="14">
      <formula>AND(H80&lt;&gt;"",COUNTIF($C$11:$C$110,H80)=0)</formula>
    </cfRule>
  </conditionalFormatting>
  <conditionalFormatting sqref="J80">
    <cfRule type="expression" dxfId="1" priority="13">
      <formula>AND(I80&lt;&gt;"",J80&lt;&gt;"",I80&gt;J80)</formula>
    </cfRule>
  </conditionalFormatting>
  <conditionalFormatting sqref="H81">
    <cfRule type="expression" dxfId="0" priority="12">
      <formula>AND(H81&lt;&gt;"",COUNTIF($C$11:$C$110,H81)=0)</formula>
    </cfRule>
  </conditionalFormatting>
  <conditionalFormatting sqref="J81">
    <cfRule type="expression" dxfId="1" priority="11">
      <formula>AND(I81&lt;&gt;"",J81&lt;&gt;"",I81&gt;J81)</formula>
    </cfRule>
  </conditionalFormatting>
  <conditionalFormatting sqref="H82">
    <cfRule type="expression" dxfId="0" priority="10">
      <formula>AND(H82&lt;&gt;"",COUNTIF($C$11:$C$110,H82)=0)</formula>
    </cfRule>
  </conditionalFormatting>
  <conditionalFormatting sqref="J82">
    <cfRule type="expression" dxfId="1" priority="9">
      <formula>AND(I82&lt;&gt;"",J82&lt;&gt;"",I82&gt;J82)</formula>
    </cfRule>
  </conditionalFormatting>
  <conditionalFormatting sqref="H83">
    <cfRule type="expression" dxfId="0" priority="8">
      <formula>AND(H83&lt;&gt;"",COUNTIF($C$11:$C$110,H83)=0)</formula>
    </cfRule>
  </conditionalFormatting>
  <conditionalFormatting sqref="J83">
    <cfRule type="expression" dxfId="1" priority="7">
      <formula>AND(I83&lt;&gt;"",J83&lt;&gt;"",I83&gt;J83)</formula>
    </cfRule>
  </conditionalFormatting>
  <conditionalFormatting sqref="H84">
    <cfRule type="expression" dxfId="0" priority="6">
      <formula>AND(H84&lt;&gt;"",COUNTIF($C$11:$C$110,H84)=0)</formula>
    </cfRule>
  </conditionalFormatting>
  <conditionalFormatting sqref="J84">
    <cfRule type="expression" dxfId="1" priority="5">
      <formula>AND(I84&lt;&gt;"",J84&lt;&gt;"",I84&gt;J84)</formula>
    </cfRule>
  </conditionalFormatting>
  <conditionalFormatting sqref="H85">
    <cfRule type="expression" dxfId="0" priority="4">
      <formula>AND(H85&lt;&gt;"",COUNTIF($C$11:$C$110,H85)=0)</formula>
    </cfRule>
  </conditionalFormatting>
  <conditionalFormatting sqref="J85">
    <cfRule type="expression" dxfId="1" priority="3">
      <formula>AND(I85&lt;&gt;"",J85&lt;&gt;"",I85&gt;J85)</formula>
    </cfRule>
  </conditionalFormatting>
  <conditionalFormatting sqref="H86">
    <cfRule type="expression" dxfId="0" priority="2">
      <formula>AND(H86&lt;&gt;"",COUNTIF($C$11:$C$110,H86)=0)</formula>
    </cfRule>
  </conditionalFormatting>
  <conditionalFormatting sqref="J86">
    <cfRule type="expression" dxfId="1" priority="1">
      <formula>AND(I86&lt;&gt;"",J86&lt;&gt;"",I86&gt;J86)</formula>
    </cfRule>
  </conditionalFormatting>
  <conditionalFormatting sqref="H12:H30;H38:H47;H51:H52;H87:H110">
    <cfRule type="expression" dxfId="0" priority="87">
      <formula>AND(H12&lt;&gt;"",COUNTIF($C$11:$C$110,H12)=0)</formula>
    </cfRule>
  </conditionalFormatting>
  <conditionalFormatting sqref="J12:J30;J39:J45;J87:J110">
    <cfRule type="expression" dxfId="1" priority="86">
      <formula>AND(I12&lt;&gt;"",J12&lt;&gt;"",I12&gt;J12)</formula>
    </cfRule>
  </conditionalFormatting>
  <conditionalFormatting sqref="H31:H34;H36:H37">
    <cfRule type="expression" dxfId="0" priority="85">
      <formula>AND(H31&lt;&gt;"",COUNTIF($C$11:$C$110,H31)=0)</formula>
    </cfRule>
  </conditionalFormatting>
  <conditionalFormatting sqref="J31:J34;J36:J37">
    <cfRule type="expression" dxfId="1" priority="84">
      <formula>AND(I31&lt;&gt;"",J31&lt;&gt;"",I31&gt;J31)</formula>
    </cfRule>
  </conditionalFormatting>
  <dataValidations count="14">
    <dataValidation allowBlank="1" showInputMessage="1" showErrorMessage="1" promptTitle="Description" prompt="Provide a succint description of the task.  If not possible, the provide a link to a document where is is described." sqref="P10"/>
    <dataValidation allowBlank="1" showInputMessage="1" showErrorMessage="1" promptTitle="ID" prompt="The IDs are updated automatically.  Don't modify them manually" sqref="C11 C12:C29 C30:C31 C32:C37 C38:C110"/>
    <dataValidation type="list" allowBlank="1" showInputMessage="1" showErrorMessage="1" promptTitle="Type" prompt="Indicate the type of task." sqref="D11 D30 D35 D48 D49 D50 D53 D54 D55 D56 D57 D58 D59 D60 D61 D62 D63 D64 D65 D66 D67 D68 D69 D70 D71 D72 D73 D74 D75 D76 D77 D78 D79 D80 D81 D82 D83 D84 D85 D86 D12:D29 D31:D34 D36:D37 D38:D47 D51:D52 D87:D110">
      <formula1>Internal!$B$35:$B$39</formula1>
    </dataValidation>
    <dataValidation type="list" allowBlank="1" showInputMessage="1" showErrorMessage="1" promptTitle="Assignee" prompt="Select the workmate the task is assigned to." sqref="E11 E30 E35 E48 E49 E50 E53 E54 E55 E56 E57 E58 E59 E60 E61 E62 E63 E64 E65 E66 E67 E68 E69 E70 E71 E72 E73 E74 E75 E76 E77 E78 E79 E80 E81 E82 E83 E84 E85 E86 E12:E29 E31:E34 E36:E37 E38:E47 E51:E52 E87:E110">
      <formula1>Internal!$B$9:$B$14</formula1>
    </dataValidation>
    <dataValidation type="list" allowBlank="1" showInputMessage="1" showErrorMessage="1" promptTitle="Role" prompt="Select a role from the select box.  Use &quot;other&quot; only in truly exceptional cases.  Consult your lecturer in such cases.&#10;" sqref="F11 F30 F35 F48 F49 F50 F53 F54 F55 F56 F57 F58 F59 F60 F61 F62 F63 F64 F65 F66 F67 F68 F69 F70 F71 F72 F73 F74 F75 F76 F77 F78 F79 F80 F81 F82 F83 F84 F85 F86 F12:F29 F31:F34 F36:F37 F38:F47 F51:F52 F87:F110">
      <formula1>Internal!$B$26:$B$32</formula1>
    </dataValidation>
    <dataValidation type="list" allowBlank="1" showInputMessage="1" showErrorMessage="1" promptTitle="Activity" prompt="Select the Activity to perfom.  Use &quot;Other&quot; only in truly exceptional cases." sqref="G11 G30 G35 G48 G49 G50 G53 G54 G55 G56 G57 G58 G59 G60 G61 G62 G63 G64 G65 G66 G67 G68 G69 G70 G71 G72 G73 G74 G75 G76 G77 G78 G79 G80 G81 G82 G83 G84 G85 G86 G12:G29 G31:G34 G36:G37 G38:G47 G51:G52 G87:G110">
      <formula1>INDIRECT(F11)</formula1>
    </dataValidation>
    <dataValidation type="list" allowBlank="1" showInputMessage="1" showErrorMessage="1" promptTitle="Parent" prompt="Select the parent task if necessary.  Usually, only &quot;Quality Assurance&quot; and &quot;Revision&quot; tasks have parents." sqref="H11 H30 H35 H48 H49 H50 H53 H54 H55 H56 H57 H58 H59 H60 H61 H62 H63 H64 H65 H66 H67 H68 H69 H70 H71 H72 H73 H74 H75 H76 H77 H78 H79 H80 H81 H82 H83 H84 H85 H86 H12:H29 H31:H34 H36:H37 H38:H47 H51:H52 H87:H110">
      <formula1>$C$11:$C$110</formula1>
    </dataValidation>
    <dataValidation type="date" operator="between" allowBlank="1" showInputMessage="1" showErrorMessage="1" promptTitle="Start moment" prompt="Indicate the moment when the assignee starts working on this task.  Use format yy/mm/dd hh:mm." sqref="I11 I16 I17 I30 I34 I35 I36 I37 I38 I39 I40 I41 I42 I43 I44 I45 I46 I47 I48 I49 I50 I51 I52 I53 I54 I55 I56 I57 I58 I59 I60 I61 I62 I63 I64 I65 I66 I67 I68 I69 I70 I71 I72 I73 I74 I75 I76 I77 I78 I79 I80 I81 I82 I83 I84 I85 I86 I12:I15 I18:I29 I31:I33 I87:I110">
      <formula1>Internal!$C$22</formula1>
      <formula2>Internal!$C$23</formula2>
    </dataValidation>
    <dataValidation type="date" operator="between" allowBlank="1" showInputMessage="1" showErrorMessage="1" promptTitle="End moment" prompt="Indicate the moment when the assignee finishes working on this task.  Use format yy/mm/dd hh:mm." sqref="J11 J16 J17 J30 J34 J35 J36 J37 J38 J39 J40 J41 J42 J43 J44 J45 J46 J47 J48 J49 J50 J51 J52 J53 J54 J55 J56 J57 J58 J59 J60 J61 J62 J63 J64 J65 J66 J67 J68 J69 J70 J71 J72 J73 J74 J75 J76 J77 J78 J79 J80 J81 J82 J83 J84 J85 J86 J12:J15 J18:J29 J31:J33 J87:J110">
      <formula1>Internal!$C$22</formula1>
      <formula2>Internal!$C$23</formula2>
    </dataValidation>
    <dataValidation allowBlank="1" showInputMessage="1" showErrorMessage="1" promptTitle="Description" prompt="If actually necessary, then write a succint description and/or include a link to a document that provides further information." sqref="K11 P11 P14 K30 P30 K35 P35 K54 K55 K56 K57 K58 K59 K60 K61 K62 K63 K64 K65 K66 K67 K68 K69 K70 K71 K72 K73 K74 K75 K76 K77 K78 K79 K80 K81 K82 K83 K84 K85 K86 K12:K29 K31:K34 K36:K37 K38:K53 K87:K110 P12:P13 P15:P29 P31:P34 P36:P37 P38:P110"/>
    <dataValidation type="decimal" operator="between" allowBlank="1" showInputMessage="1" showErrorMessage="1" promptTitle="Expected workload" prompt="Enter the expected workload in hours or fractions." sqref="L11 L30 L35 L54 L55 L56 L57 L58 L59 L60 L61 L62 L63 L64 L65 L66 L67 L68 L69 L70 L71 L72 L73 L74 L75 L76 L77 L78 L79 L80 L81 L82 L83 L84 L85 L86 L12:L16 L17:L21 L22:L26 L27:L29 L31:L34 L36:L37 L38:L53 L87:L110">
      <formula1>0</formula1>
      <formula2>1024</formula2>
    </dataValidation>
    <dataValidation allowBlank="1" showInputMessage="1" showErrorMessage="1" promptTitle="Actual workload" prompt="Enter the actual workload in hours or fractions.&#10;" sqref="M11 M30 M35 M54 M12:M29 M31:M34 M36:M37 M38:M53 M55:M74 M75:M76 M77:M110"/>
    <dataValidation allowBlank="1" showInputMessage="1" showErrorMessage="1" promptTitle="Costs" prompt="The costs are updated automatically.  Don't modify them manually" sqref="N11:O11 N30:O30 N35:O35 N12:O29 N38:O110 N36:O37 N31:O34"/>
    <dataValidation allowBlank="1" showInputMessage="1" showErrorMessage="1" promptTitle="ORDER" prompt="Order numbers are internal data.  Do not change them.&#10;" sqref="B11:B110"/>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110"/>
  <sheetViews>
    <sheetView workbookViewId="0">
      <pane ySplit="10" topLeftCell="A11" activePane="bottomLeft" state="frozen"/>
      <selection/>
      <selection pane="bottomLeft" activeCell="A1" sqref="A1"/>
    </sheetView>
  </sheetViews>
  <sheetFormatPr defaultColWidth="9" defaultRowHeight="13.5"/>
  <cols>
    <col min="3" max="15" width="18.8833333333333" customWidth="1"/>
    <col min="16" max="16" width="64.5583333333333" customWidth="1"/>
  </cols>
  <sheetData>
    <row r="2" spans="3:16">
      <c r="C2" s="1" t="s">
        <v>121</v>
      </c>
      <c r="D2" s="1"/>
      <c r="E2" s="1"/>
      <c r="F2" s="1"/>
      <c r="G2" s="1"/>
      <c r="H2" s="1"/>
      <c r="I2" s="1"/>
      <c r="J2" s="1"/>
      <c r="K2" s="1"/>
      <c r="L2" s="1"/>
      <c r="M2" s="1"/>
      <c r="N2" s="1"/>
      <c r="O2" s="1"/>
      <c r="P2" s="1"/>
    </row>
    <row r="4" ht="15" customHeight="1" spans="3:16">
      <c r="C4" s="2" t="s">
        <v>10</v>
      </c>
      <c r="D4" s="2"/>
      <c r="E4" s="2"/>
      <c r="F4" s="2"/>
      <c r="G4" s="2"/>
      <c r="H4" s="2"/>
      <c r="I4" s="2"/>
      <c r="J4" s="2"/>
      <c r="K4" s="2"/>
      <c r="L4" s="2"/>
      <c r="M4" s="2"/>
      <c r="N4" s="2"/>
      <c r="O4" s="2"/>
      <c r="P4" s="2"/>
    </row>
    <row r="5" spans="3:16">
      <c r="C5" s="3"/>
      <c r="D5" s="3"/>
      <c r="E5" s="3"/>
      <c r="F5" s="3"/>
      <c r="G5" s="3"/>
      <c r="H5" s="3"/>
      <c r="I5" s="3"/>
      <c r="J5" s="3"/>
      <c r="K5" s="3"/>
      <c r="L5" s="3"/>
      <c r="M5" s="3"/>
      <c r="N5" s="3"/>
      <c r="O5" s="3"/>
      <c r="P5" s="3"/>
    </row>
    <row r="6" spans="3:16">
      <c r="C6" s="29" t="s">
        <v>11</v>
      </c>
      <c r="D6" s="30" t="s">
        <v>12</v>
      </c>
      <c r="E6" s="31">
        <f>SUM(N11:N110)</f>
        <v>0</v>
      </c>
      <c r="F6" s="3"/>
      <c r="G6" s="3"/>
      <c r="H6" s="3"/>
      <c r="I6" s="3"/>
      <c r="J6" s="3"/>
      <c r="K6" s="3"/>
      <c r="L6" s="3"/>
      <c r="M6" s="3"/>
      <c r="N6" s="3"/>
      <c r="O6" s="3"/>
      <c r="P6" s="3"/>
    </row>
    <row r="7" spans="3:10">
      <c r="C7" s="29"/>
      <c r="D7" s="32" t="s">
        <v>13</v>
      </c>
      <c r="E7" s="33">
        <f>SUM(O11:O110)</f>
        <v>0</v>
      </c>
      <c r="J7" s="42"/>
    </row>
    <row r="9" spans="2:16">
      <c r="B9" s="34"/>
      <c r="C9" s="35"/>
      <c r="D9" s="35"/>
      <c r="E9" s="35"/>
      <c r="F9" s="35"/>
      <c r="G9" s="35"/>
      <c r="H9" s="35"/>
      <c r="I9" s="43" t="s">
        <v>14</v>
      </c>
      <c r="J9" s="43"/>
      <c r="K9" s="35"/>
      <c r="L9" s="43" t="s">
        <v>15</v>
      </c>
      <c r="M9" s="43"/>
      <c r="N9" s="43" t="s">
        <v>16</v>
      </c>
      <c r="O9" s="43"/>
      <c r="P9" s="35"/>
    </row>
    <row r="10" ht="14.25" spans="2:16">
      <c r="B10" s="36" t="s">
        <v>17</v>
      </c>
      <c r="C10" s="36" t="s">
        <v>18</v>
      </c>
      <c r="D10" s="37" t="s">
        <v>19</v>
      </c>
      <c r="E10" s="37" t="s">
        <v>20</v>
      </c>
      <c r="F10" s="37" t="s">
        <v>21</v>
      </c>
      <c r="G10" s="37" t="s">
        <v>22</v>
      </c>
      <c r="H10" s="36" t="s">
        <v>23</v>
      </c>
      <c r="I10" s="44" t="s">
        <v>24</v>
      </c>
      <c r="J10" s="44" t="s">
        <v>25</v>
      </c>
      <c r="K10" s="37" t="s">
        <v>26</v>
      </c>
      <c r="L10" s="44" t="s">
        <v>27</v>
      </c>
      <c r="M10" s="44" t="s">
        <v>28</v>
      </c>
      <c r="N10" s="44" t="s">
        <v>27</v>
      </c>
      <c r="O10" s="44" t="s">
        <v>28</v>
      </c>
      <c r="P10" s="37" t="s">
        <v>29</v>
      </c>
    </row>
    <row r="11" ht="14.25" spans="2:16">
      <c r="B11" s="38">
        <v>1</v>
      </c>
      <c r="C11" s="39" t="str">
        <f>IF(ISBLANK(D11),"",_xlfn.CONCAT("T",TEXT(B11,"0000"),"/",VLOOKUP(D11,Internal!$B$35:C$39,2,FALSE),IF(OR(D11="QA",D11="Revision"),_xlfn.CONCAT("/",H11),"")))</f>
        <v/>
      </c>
      <c r="D11" s="40"/>
      <c r="E11" s="41"/>
      <c r="F11" s="41"/>
      <c r="G11" s="40"/>
      <c r="H11" s="41"/>
      <c r="I11" s="45"/>
      <c r="J11" s="45"/>
      <c r="K11" s="46" t="str">
        <f ca="1">IF(OR(I11="",J11=""),"",IF(AND(J11&lt;&gt;"",I11&gt;=NOW()),"Planned",IF(AND(J11&lt;&gt;"",J11&lt;NOW()),"Completed","Ongoing")))</f>
        <v/>
      </c>
      <c r="L11" s="47"/>
      <c r="M11" s="47"/>
      <c r="N11" s="46" t="str">
        <f>IF(ISBLANK(L11),"",L11*VLOOKUP($F11,Internal!$B$26:$C$32,2,FALSE))</f>
        <v/>
      </c>
      <c r="O11" s="46" t="str">
        <f>IF(ISBLANK(M11),"",M11*VLOOKUP($F11,Internal!$B$26:$C$32,2,FALSE))</f>
        <v/>
      </c>
      <c r="P11" s="40"/>
    </row>
    <row r="12" ht="14.25" spans="2:16">
      <c r="B12" s="38">
        <v>2</v>
      </c>
      <c r="C12" s="39" t="str">
        <f>IF(ISBLANK(D12),"",_xlfn.CONCAT("T",TEXT(B12,"0000"),"/",VLOOKUP(D12,Internal!$B$35:C$39,2,FALSE),IF(OR(D12="QA",D12="Revision"),_xlfn.CONCAT("/",H12),"")))</f>
        <v/>
      </c>
      <c r="D12" s="40"/>
      <c r="E12" s="41"/>
      <c r="F12" s="41"/>
      <c r="G12" s="40"/>
      <c r="H12" s="41"/>
      <c r="I12" s="45"/>
      <c r="J12" s="45"/>
      <c r="K12" s="46" t="str">
        <f ca="1" t="shared" ref="K12:K75" si="0">IF(OR(I12="",J12=""),"",IF(AND(J12&lt;&gt;"",I12&gt;=NOW()),"Planned",IF(AND(J12&lt;&gt;"",J12&lt;NOW()),"Completed","Ongoing")))</f>
        <v/>
      </c>
      <c r="L12" s="47"/>
      <c r="M12" s="47"/>
      <c r="N12" s="46" t="str">
        <f>IF(ISBLANK(L12),"",L12*VLOOKUP($F12,Internal!$B$26:$C$32,2,FALSE))</f>
        <v/>
      </c>
      <c r="O12" s="46" t="str">
        <f>IF(ISBLANK(M12),"",M12*VLOOKUP($F12,Internal!$B$26:$C$32,2,FALSE))</f>
        <v/>
      </c>
      <c r="P12" s="40"/>
    </row>
    <row r="13" ht="14.25" spans="2:16">
      <c r="B13" s="38">
        <v>3</v>
      </c>
      <c r="C13" s="39" t="str">
        <f>IF(ISBLANK(D13),"",_xlfn.CONCAT("T",TEXT(B13,"0000"),"/",VLOOKUP(D13,Internal!$B$35:C$39,2,FALSE),IF(OR(D13="QA",D13="Revision"),_xlfn.CONCAT("/",H13),"")))</f>
        <v/>
      </c>
      <c r="D13" s="40"/>
      <c r="E13" s="41"/>
      <c r="F13" s="41"/>
      <c r="G13" s="40"/>
      <c r="H13" s="41"/>
      <c r="I13" s="45"/>
      <c r="J13" s="45"/>
      <c r="K13" s="46" t="str">
        <f ca="1" t="shared" si="0"/>
        <v/>
      </c>
      <c r="L13" s="47"/>
      <c r="M13" s="47"/>
      <c r="N13" s="46" t="str">
        <f>IF(ISBLANK(L13),"",L13*VLOOKUP($F13,Internal!$B$26:$C$32,2,FALSE))</f>
        <v/>
      </c>
      <c r="O13" s="46" t="str">
        <f>IF(ISBLANK(M13),"",M13*VLOOKUP($F13,Internal!$B$26:$C$32,2,FALSE))</f>
        <v/>
      </c>
      <c r="P13" s="40"/>
    </row>
    <row r="14" ht="14.25" spans="2:16">
      <c r="B14" s="38">
        <v>4</v>
      </c>
      <c r="C14" s="39" t="str">
        <f>IF(ISBLANK(D14),"",_xlfn.CONCAT("T",TEXT(B14,"0000"),"/",VLOOKUP(D14,Internal!$B$35:C$39,2,FALSE),IF(OR(D14="QA",D14="Revision"),_xlfn.CONCAT("/",H14),"")))</f>
        <v/>
      </c>
      <c r="D14" s="40"/>
      <c r="E14" s="41"/>
      <c r="F14" s="41"/>
      <c r="G14" s="40"/>
      <c r="H14" s="41"/>
      <c r="I14" s="45"/>
      <c r="J14" s="45"/>
      <c r="K14" s="46" t="str">
        <f ca="1" t="shared" si="0"/>
        <v/>
      </c>
      <c r="L14" s="47"/>
      <c r="M14" s="47"/>
      <c r="N14" s="46" t="str">
        <f>IF(ISBLANK(L14),"",L14*VLOOKUP($F14,Internal!$B$26:$C$32,2,FALSE))</f>
        <v/>
      </c>
      <c r="O14" s="46" t="str">
        <f>IF(ISBLANK(M14),"",M14*VLOOKUP($F14,Internal!$B$26:$C$32,2,FALSE))</f>
        <v/>
      </c>
      <c r="P14" s="40"/>
    </row>
    <row r="15" ht="14.25" spans="2:16">
      <c r="B15" s="38">
        <v>5</v>
      </c>
      <c r="C15" s="39" t="str">
        <f>IF(ISBLANK(D15),"",_xlfn.CONCAT("T",TEXT(B15,"0000"),"/",VLOOKUP(D15,Internal!$B$35:C$39,2,FALSE),IF(OR(D15="QA",D15="Revision"),_xlfn.CONCAT("/",H15),"")))</f>
        <v/>
      </c>
      <c r="D15" s="40"/>
      <c r="E15" s="41"/>
      <c r="F15" s="41"/>
      <c r="G15" s="40"/>
      <c r="H15" s="41"/>
      <c r="I15" s="45"/>
      <c r="J15" s="45"/>
      <c r="K15" s="46" t="str">
        <f ca="1" t="shared" si="0"/>
        <v/>
      </c>
      <c r="L15" s="47"/>
      <c r="M15" s="47"/>
      <c r="N15" s="46" t="str">
        <f>IF(ISBLANK(L15),"",L15*VLOOKUP($F15,Internal!$B$26:$C$32,2,FALSE))</f>
        <v/>
      </c>
      <c r="O15" s="46" t="str">
        <f>IF(ISBLANK(M15),"",M15*VLOOKUP($F15,Internal!$B$26:$C$32,2,FALSE))</f>
        <v/>
      </c>
      <c r="P15" s="40"/>
    </row>
    <row r="16" ht="14.25" spans="2:16">
      <c r="B16" s="38">
        <v>6</v>
      </c>
      <c r="C16" s="39" t="str">
        <f>IF(ISBLANK(D16),"",_xlfn.CONCAT("T",TEXT(B16,"0000"),"/",VLOOKUP(D16,Internal!$B$35:C$39,2,FALSE),IF(OR(D16="QA",D16="Revision"),_xlfn.CONCAT("/",H16),"")))</f>
        <v/>
      </c>
      <c r="D16" s="40"/>
      <c r="E16" s="41"/>
      <c r="F16" s="41"/>
      <c r="G16" s="40"/>
      <c r="H16" s="41"/>
      <c r="I16" s="45"/>
      <c r="J16" s="45"/>
      <c r="K16" s="46" t="str">
        <f ca="1" t="shared" si="0"/>
        <v/>
      </c>
      <c r="L16" s="47"/>
      <c r="M16" s="47"/>
      <c r="N16" s="46" t="str">
        <f>IF(ISBLANK(L16),"",L16*VLOOKUP($F16,Internal!$B$26:$C$32,2,FALSE))</f>
        <v/>
      </c>
      <c r="O16" s="46" t="str">
        <f>IF(ISBLANK(M16),"",M16*VLOOKUP($F16,Internal!$B$26:$C$32,2,FALSE))</f>
        <v/>
      </c>
      <c r="P16" s="40"/>
    </row>
    <row r="17" ht="14.25" spans="2:16">
      <c r="B17" s="38">
        <v>7</v>
      </c>
      <c r="C17" s="39" t="str">
        <f>IF(ISBLANK(D17),"",_xlfn.CONCAT("T",TEXT(B17,"0000"),"/",VLOOKUP(D17,Internal!$B$35:C$39,2,FALSE),IF(OR(D17="QA",D17="Revision"),_xlfn.CONCAT("/",H17),"")))</f>
        <v/>
      </c>
      <c r="D17" s="40"/>
      <c r="E17" s="41"/>
      <c r="F17" s="41"/>
      <c r="G17" s="40"/>
      <c r="H17" s="41"/>
      <c r="I17" s="45"/>
      <c r="J17" s="45"/>
      <c r="K17" s="46" t="str">
        <f ca="1" t="shared" si="0"/>
        <v/>
      </c>
      <c r="L17" s="47"/>
      <c r="M17" s="47"/>
      <c r="N17" s="46" t="str">
        <f>IF(ISBLANK(L17),"",L17*VLOOKUP($F17,Internal!$B$26:$C$32,2,FALSE))</f>
        <v/>
      </c>
      <c r="O17" s="46" t="str">
        <f>IF(ISBLANK(M17),"",M17*VLOOKUP($F17,Internal!$B$26:$C$32,2,FALSE))</f>
        <v/>
      </c>
      <c r="P17" s="40"/>
    </row>
    <row r="18" ht="14.25" spans="2:16">
      <c r="B18" s="38">
        <v>8</v>
      </c>
      <c r="C18" s="39" t="str">
        <f>IF(ISBLANK(D18),"",_xlfn.CONCAT("T",TEXT(B18,"0000"),"/",VLOOKUP(D18,Internal!$B$35:C$39,2,FALSE),IF(OR(D18="QA",D18="Revision"),_xlfn.CONCAT("/",H18),"")))</f>
        <v/>
      </c>
      <c r="D18" s="40"/>
      <c r="E18" s="41"/>
      <c r="F18" s="41"/>
      <c r="G18" s="40"/>
      <c r="H18" s="41"/>
      <c r="I18" s="45"/>
      <c r="J18" s="45"/>
      <c r="K18" s="46" t="str">
        <f ca="1" t="shared" si="0"/>
        <v/>
      </c>
      <c r="L18" s="47"/>
      <c r="M18" s="47"/>
      <c r="N18" s="46" t="str">
        <f>IF(ISBLANK(L18),"",L18*VLOOKUP($F18,Internal!$B$26:$C$32,2,FALSE))</f>
        <v/>
      </c>
      <c r="O18" s="46" t="str">
        <f>IF(ISBLANK(M18),"",M18*VLOOKUP($F18,Internal!$B$26:$C$32,2,FALSE))</f>
        <v/>
      </c>
      <c r="P18" s="40"/>
    </row>
    <row r="19" ht="14.25" spans="2:16">
      <c r="B19" s="38">
        <v>9</v>
      </c>
      <c r="C19" s="39" t="str">
        <f>IF(ISBLANK(D19),"",_xlfn.CONCAT("T",TEXT(B19,"0000"),"/",VLOOKUP(D19,Internal!$B$35:C$39,2,FALSE),IF(OR(D19="QA",D19="Revision"),_xlfn.CONCAT("/",H19),"")))</f>
        <v/>
      </c>
      <c r="D19" s="40"/>
      <c r="E19" s="41"/>
      <c r="F19" s="41"/>
      <c r="G19" s="40"/>
      <c r="H19" s="41"/>
      <c r="I19" s="45"/>
      <c r="J19" s="45"/>
      <c r="K19" s="46" t="str">
        <f ca="1" t="shared" si="0"/>
        <v/>
      </c>
      <c r="L19" s="47"/>
      <c r="M19" s="47"/>
      <c r="N19" s="46" t="str">
        <f>IF(ISBLANK(L19),"",L19*VLOOKUP($F19,Internal!$B$26:$C$32,2,FALSE))</f>
        <v/>
      </c>
      <c r="O19" s="46" t="str">
        <f>IF(ISBLANK(M19),"",M19*VLOOKUP($F19,Internal!$B$26:$C$32,2,FALSE))</f>
        <v/>
      </c>
      <c r="P19" s="40"/>
    </row>
    <row r="20" ht="14.25" spans="2:16">
      <c r="B20" s="38">
        <v>10</v>
      </c>
      <c r="C20" s="39" t="str">
        <f>IF(ISBLANK(D20),"",_xlfn.CONCAT("T",TEXT(B20,"0000"),"/",VLOOKUP(D20,Internal!$B$35:C$39,2,FALSE),IF(OR(D20="QA",D20="Revision"),_xlfn.CONCAT("/",H20),"")))</f>
        <v/>
      </c>
      <c r="D20" s="40"/>
      <c r="E20" s="41"/>
      <c r="F20" s="41"/>
      <c r="G20" s="40"/>
      <c r="H20" s="41"/>
      <c r="I20" s="45"/>
      <c r="J20" s="45"/>
      <c r="K20" s="46" t="str">
        <f ca="1" t="shared" si="0"/>
        <v/>
      </c>
      <c r="L20" s="47"/>
      <c r="M20" s="47"/>
      <c r="N20" s="46" t="str">
        <f>IF(ISBLANK(L20),"",L20*VLOOKUP($F20,Internal!$B$26:$C$32,2,FALSE))</f>
        <v/>
      </c>
      <c r="O20" s="46" t="str">
        <f>IF(ISBLANK(M20),"",M20*VLOOKUP($F20,Internal!$B$26:$C$32,2,FALSE))</f>
        <v/>
      </c>
      <c r="P20" s="40"/>
    </row>
    <row r="21" ht="14.25" spans="2:16">
      <c r="B21" s="38">
        <v>11</v>
      </c>
      <c r="C21" s="39" t="str">
        <f>IF(ISBLANK(D21),"",_xlfn.CONCAT("T",TEXT(B21,"0000"),"/",VLOOKUP(D21,Internal!$B$35:C$39,2,FALSE),IF(OR(D21="QA",D21="Revision"),_xlfn.CONCAT("/",H21),"")))</f>
        <v/>
      </c>
      <c r="D21" s="40"/>
      <c r="E21" s="41"/>
      <c r="F21" s="41"/>
      <c r="G21" s="40"/>
      <c r="H21" s="41"/>
      <c r="I21" s="45"/>
      <c r="J21" s="45"/>
      <c r="K21" s="46" t="str">
        <f ca="1" t="shared" si="0"/>
        <v/>
      </c>
      <c r="L21" s="47"/>
      <c r="M21" s="47"/>
      <c r="N21" s="46" t="str">
        <f>IF(ISBLANK(L21),"",L21*VLOOKUP($F21,Internal!$B$26:$C$32,2,FALSE))</f>
        <v/>
      </c>
      <c r="O21" s="46" t="str">
        <f>IF(ISBLANK(M21),"",M21*VLOOKUP($F21,Internal!$B$26:$C$32,2,FALSE))</f>
        <v/>
      </c>
      <c r="P21" s="40"/>
    </row>
    <row r="22" ht="14.25" spans="2:16">
      <c r="B22" s="38">
        <v>12</v>
      </c>
      <c r="C22" s="39" t="str">
        <f>IF(ISBLANK(D22),"",_xlfn.CONCAT("T",TEXT(B22,"0000"),"/",VLOOKUP(D22,Internal!$B$35:C$39,2,FALSE),IF(OR(D22="QA",D22="Revision"),_xlfn.CONCAT("/",H22),"")))</f>
        <v/>
      </c>
      <c r="D22" s="40"/>
      <c r="E22" s="41"/>
      <c r="F22" s="41"/>
      <c r="G22" s="40"/>
      <c r="H22" s="41"/>
      <c r="I22" s="45"/>
      <c r="J22" s="45"/>
      <c r="K22" s="46" t="str">
        <f ca="1" t="shared" si="0"/>
        <v/>
      </c>
      <c r="L22" s="47"/>
      <c r="M22" s="47"/>
      <c r="N22" s="46" t="str">
        <f>IF(ISBLANK(L22),"",L22*VLOOKUP($F22,Internal!$B$26:$C$32,2,FALSE))</f>
        <v/>
      </c>
      <c r="O22" s="46" t="str">
        <f>IF(ISBLANK(M22),"",M22*VLOOKUP($F22,Internal!$B$26:$C$32,2,FALSE))</f>
        <v/>
      </c>
      <c r="P22" s="40"/>
    </row>
    <row r="23" ht="14.25" spans="2:16">
      <c r="B23" s="38">
        <v>13</v>
      </c>
      <c r="C23" s="39" t="str">
        <f>IF(ISBLANK(D23),"",_xlfn.CONCAT("T",TEXT(B23,"0000"),"/",VLOOKUP(D23,Internal!$B$35:C$39,2,FALSE),IF(OR(D23="QA",D23="Revision"),_xlfn.CONCAT("/",H23),"")))</f>
        <v/>
      </c>
      <c r="D23" s="40"/>
      <c r="E23" s="41"/>
      <c r="F23" s="41"/>
      <c r="G23" s="40"/>
      <c r="H23" s="41"/>
      <c r="I23" s="45"/>
      <c r="J23" s="45"/>
      <c r="K23" s="46" t="str">
        <f ca="1" t="shared" si="0"/>
        <v/>
      </c>
      <c r="L23" s="47"/>
      <c r="M23" s="47"/>
      <c r="N23" s="46" t="str">
        <f>IF(ISBLANK(L23),"",L23*VLOOKUP($F23,Internal!$B$26:$C$32,2,FALSE))</f>
        <v/>
      </c>
      <c r="O23" s="46" t="str">
        <f>IF(ISBLANK(M23),"",M23*VLOOKUP($F23,Internal!$B$26:$C$32,2,FALSE))</f>
        <v/>
      </c>
      <c r="P23" s="40"/>
    </row>
    <row r="24" ht="14.25" spans="2:16">
      <c r="B24" s="38">
        <v>14</v>
      </c>
      <c r="C24" s="39" t="str">
        <f>IF(ISBLANK(D24),"",_xlfn.CONCAT("T",TEXT(B24,"0000"),"/",VLOOKUP(D24,Internal!$B$35:C$39,2,FALSE),IF(OR(D24="QA",D24="Revision"),_xlfn.CONCAT("/",H24),"")))</f>
        <v/>
      </c>
      <c r="D24" s="40"/>
      <c r="E24" s="41"/>
      <c r="F24" s="41"/>
      <c r="G24" s="40"/>
      <c r="H24" s="41"/>
      <c r="I24" s="45"/>
      <c r="J24" s="45"/>
      <c r="K24" s="46" t="str">
        <f ca="1" t="shared" si="0"/>
        <v/>
      </c>
      <c r="L24" s="47"/>
      <c r="M24" s="47"/>
      <c r="N24" s="46" t="str">
        <f>IF(ISBLANK(L24),"",L24*VLOOKUP($F24,Internal!$B$26:$C$32,2,FALSE))</f>
        <v/>
      </c>
      <c r="O24" s="46" t="str">
        <f>IF(ISBLANK(M24),"",M24*VLOOKUP($F24,Internal!$B$26:$C$32,2,FALSE))</f>
        <v/>
      </c>
      <c r="P24" s="40"/>
    </row>
    <row r="25" ht="14.25" spans="2:16">
      <c r="B25" s="38">
        <v>15</v>
      </c>
      <c r="C25" s="39" t="str">
        <f>IF(ISBLANK(D25),"",_xlfn.CONCAT("T",TEXT(B25,"0000"),"/",VLOOKUP(D25,Internal!$B$35:C$39,2,FALSE),IF(OR(D25="QA",D25="Revision"),_xlfn.CONCAT("/",H25),"")))</f>
        <v/>
      </c>
      <c r="D25" s="40"/>
      <c r="E25" s="41"/>
      <c r="F25" s="41"/>
      <c r="G25" s="40"/>
      <c r="H25" s="41"/>
      <c r="I25" s="45"/>
      <c r="J25" s="45"/>
      <c r="K25" s="46" t="str">
        <f ca="1" t="shared" si="0"/>
        <v/>
      </c>
      <c r="L25" s="47"/>
      <c r="M25" s="47"/>
      <c r="N25" s="46" t="str">
        <f>IF(ISBLANK(L25),"",L25*VLOOKUP($F25,Internal!$B$26:$C$32,2,FALSE))</f>
        <v/>
      </c>
      <c r="O25" s="46" t="str">
        <f>IF(ISBLANK(M25),"",M25*VLOOKUP($F25,Internal!$B$26:$C$32,2,FALSE))</f>
        <v/>
      </c>
      <c r="P25" s="40"/>
    </row>
    <row r="26" ht="14.25" spans="2:16">
      <c r="B26" s="38">
        <v>16</v>
      </c>
      <c r="C26" s="39" t="str">
        <f>IF(ISBLANK(D26),"",_xlfn.CONCAT("T",TEXT(B26,"0000"),"/",VLOOKUP(D26,Internal!$B$35:C$39,2,FALSE),IF(OR(D26="QA",D26="Revision"),_xlfn.CONCAT("/",H26),"")))</f>
        <v/>
      </c>
      <c r="D26" s="40"/>
      <c r="E26" s="41"/>
      <c r="F26" s="41"/>
      <c r="G26" s="40"/>
      <c r="H26" s="41"/>
      <c r="I26" s="45"/>
      <c r="J26" s="45"/>
      <c r="K26" s="46" t="str">
        <f ca="1" t="shared" si="0"/>
        <v/>
      </c>
      <c r="L26" s="47"/>
      <c r="M26" s="47"/>
      <c r="N26" s="46" t="str">
        <f>IF(ISBLANK(L26),"",L26*VLOOKUP($F26,Internal!$B$26:$C$32,2,FALSE))</f>
        <v/>
      </c>
      <c r="O26" s="46" t="str">
        <f>IF(ISBLANK(M26),"",M26*VLOOKUP($F26,Internal!$B$26:$C$32,2,FALSE))</f>
        <v/>
      </c>
      <c r="P26" s="40"/>
    </row>
    <row r="27" ht="14.25" spans="2:16">
      <c r="B27" s="38">
        <v>17</v>
      </c>
      <c r="C27" s="39" t="str">
        <f>IF(ISBLANK(D27),"",_xlfn.CONCAT("T",TEXT(B27,"0000"),"/",VLOOKUP(D27,Internal!$B$35:C$39,2,FALSE),IF(OR(D27="QA",D27="Revision"),_xlfn.CONCAT("/",H27),"")))</f>
        <v/>
      </c>
      <c r="D27" s="40"/>
      <c r="E27" s="41"/>
      <c r="F27" s="41"/>
      <c r="G27" s="40"/>
      <c r="H27" s="41"/>
      <c r="I27" s="45"/>
      <c r="J27" s="45"/>
      <c r="K27" s="46" t="str">
        <f ca="1" t="shared" si="0"/>
        <v/>
      </c>
      <c r="L27" s="47"/>
      <c r="M27" s="47"/>
      <c r="N27" s="46" t="str">
        <f>IF(ISBLANK(L27),"",L27*VLOOKUP($F27,Internal!$B$26:$C$32,2,FALSE))</f>
        <v/>
      </c>
      <c r="O27" s="46" t="str">
        <f>IF(ISBLANK(M27),"",M27*VLOOKUP($F27,Internal!$B$26:$C$32,2,FALSE))</f>
        <v/>
      </c>
      <c r="P27" s="40"/>
    </row>
    <row r="28" ht="14.25" spans="2:16">
      <c r="B28" s="38">
        <v>18</v>
      </c>
      <c r="C28" s="39" t="str">
        <f>IF(ISBLANK(D28),"",_xlfn.CONCAT("T",TEXT(B28,"0000"),"/",VLOOKUP(D28,Internal!$B$35:C$39,2,FALSE),IF(OR(D28="QA",D28="Revision"),_xlfn.CONCAT("/",H28),"")))</f>
        <v/>
      </c>
      <c r="D28" s="40"/>
      <c r="E28" s="41"/>
      <c r="F28" s="41"/>
      <c r="G28" s="40"/>
      <c r="H28" s="41"/>
      <c r="I28" s="45"/>
      <c r="J28" s="45"/>
      <c r="K28" s="46" t="str">
        <f ca="1" t="shared" si="0"/>
        <v/>
      </c>
      <c r="L28" s="47"/>
      <c r="M28" s="47"/>
      <c r="N28" s="46" t="str">
        <f>IF(ISBLANK(L28),"",L28*VLOOKUP($F28,Internal!$B$26:$C$32,2,FALSE))</f>
        <v/>
      </c>
      <c r="O28" s="46" t="str">
        <f>IF(ISBLANK(M28),"",M28*VLOOKUP($F28,Internal!$B$26:$C$32,2,FALSE))</f>
        <v/>
      </c>
      <c r="P28" s="40"/>
    </row>
    <row r="29" ht="14.25" spans="2:16">
      <c r="B29" s="38">
        <v>19</v>
      </c>
      <c r="C29" s="39" t="str">
        <f>IF(ISBLANK(D29),"",_xlfn.CONCAT("T",TEXT(B29,"0000"),"/",VLOOKUP(D29,Internal!$B$35:C$39,2,FALSE),IF(OR(D29="QA",D29="Revision"),_xlfn.CONCAT("/",H29),"")))</f>
        <v/>
      </c>
      <c r="D29" s="40"/>
      <c r="E29" s="41"/>
      <c r="F29" s="41"/>
      <c r="G29" s="40"/>
      <c r="H29" s="41"/>
      <c r="I29" s="45"/>
      <c r="J29" s="45"/>
      <c r="K29" s="46" t="str">
        <f ca="1" t="shared" si="0"/>
        <v/>
      </c>
      <c r="L29" s="47"/>
      <c r="M29" s="47"/>
      <c r="N29" s="46" t="str">
        <f>IF(ISBLANK(L29),"",L29*VLOOKUP($F29,Internal!$B$26:$C$32,2,FALSE))</f>
        <v/>
      </c>
      <c r="O29" s="46" t="str">
        <f>IF(ISBLANK(M29),"",M29*VLOOKUP($F29,Internal!$B$26:$C$32,2,FALSE))</f>
        <v/>
      </c>
      <c r="P29" s="40"/>
    </row>
    <row r="30" ht="14.25" spans="2:16">
      <c r="B30" s="38">
        <v>20</v>
      </c>
      <c r="C30" s="39" t="str">
        <f>IF(ISBLANK(D30),"",_xlfn.CONCAT("T",TEXT(B30,"0000"),"/",VLOOKUP(D30,Internal!$B$35:C$39,2,FALSE),IF(OR(D30="QA",D30="Revision"),_xlfn.CONCAT("/",H30),"")))</f>
        <v/>
      </c>
      <c r="D30" s="40"/>
      <c r="E30" s="41"/>
      <c r="F30" s="41"/>
      <c r="G30" s="40"/>
      <c r="H30" s="41"/>
      <c r="I30" s="45"/>
      <c r="J30" s="45"/>
      <c r="K30" s="46" t="str">
        <f ca="1" t="shared" si="0"/>
        <v/>
      </c>
      <c r="L30" s="47"/>
      <c r="M30" s="47"/>
      <c r="N30" s="46" t="str">
        <f>IF(ISBLANK(L30),"",L30*VLOOKUP($F30,Internal!$B$26:$C$32,2,FALSE))</f>
        <v/>
      </c>
      <c r="O30" s="46" t="str">
        <f>IF(ISBLANK(M30),"",M30*VLOOKUP($F30,Internal!$B$26:$C$32,2,FALSE))</f>
        <v/>
      </c>
      <c r="P30" s="40"/>
    </row>
    <row r="31" ht="14.25" spans="2:16">
      <c r="B31" s="38">
        <v>21</v>
      </c>
      <c r="C31" s="39" t="str">
        <f>IF(ISBLANK(D31),"",_xlfn.CONCAT("T",TEXT(B31,"0000"),"/",VLOOKUP(D31,Internal!$B$35:C$39,2,FALSE),IF(OR(D31="QA",D31="Revision"),_xlfn.CONCAT("/",H31),"")))</f>
        <v/>
      </c>
      <c r="D31" s="40"/>
      <c r="E31" s="41"/>
      <c r="F31" s="41"/>
      <c r="G31" s="40"/>
      <c r="H31" s="41"/>
      <c r="I31" s="45"/>
      <c r="J31" s="45"/>
      <c r="K31" s="46" t="str">
        <f ca="1" t="shared" si="0"/>
        <v/>
      </c>
      <c r="L31" s="47"/>
      <c r="M31" s="47"/>
      <c r="N31" s="46" t="str">
        <f>IF(ISBLANK(L31),"",L31*VLOOKUP($F31,Internal!$B$26:$C$32,2,FALSE))</f>
        <v/>
      </c>
      <c r="O31" s="46" t="str">
        <f>IF(ISBLANK(M31),"",M31*VLOOKUP($F31,Internal!$B$26:$C$32,2,FALSE))</f>
        <v/>
      </c>
      <c r="P31" s="40"/>
    </row>
    <row r="32" ht="14.25" spans="2:16">
      <c r="B32" s="38">
        <v>22</v>
      </c>
      <c r="C32" s="39" t="str">
        <f>IF(ISBLANK(D32),"",_xlfn.CONCAT("T",TEXT(B32,"0000"),"/",VLOOKUP(D32,Internal!$B$35:C$39,2,FALSE),IF(OR(D32="QA",D32="Revision"),_xlfn.CONCAT("/",H32),"")))</f>
        <v/>
      </c>
      <c r="D32" s="40"/>
      <c r="E32" s="41"/>
      <c r="F32" s="41"/>
      <c r="G32" s="40"/>
      <c r="H32" s="41"/>
      <c r="I32" s="45"/>
      <c r="J32" s="45"/>
      <c r="K32" s="46" t="str">
        <f ca="1" t="shared" si="0"/>
        <v/>
      </c>
      <c r="L32" s="47"/>
      <c r="M32" s="47"/>
      <c r="N32" s="46" t="str">
        <f>IF(ISBLANK(L32),"",L32*VLOOKUP($F32,Internal!$B$26:$C$32,2,FALSE))</f>
        <v/>
      </c>
      <c r="O32" s="46" t="str">
        <f>IF(ISBLANK(M32),"",M32*VLOOKUP($F32,Internal!$B$26:$C$32,2,FALSE))</f>
        <v/>
      </c>
      <c r="P32" s="40"/>
    </row>
    <row r="33" ht="14.25" spans="2:16">
      <c r="B33" s="38">
        <v>23</v>
      </c>
      <c r="C33" s="39" t="str">
        <f>IF(ISBLANK(D33),"",_xlfn.CONCAT("T",TEXT(B33,"0000"),"/",VLOOKUP(D33,Internal!$B$35:C$39,2,FALSE),IF(OR(D33="QA",D33="Revision"),_xlfn.CONCAT("/",H33),"")))</f>
        <v/>
      </c>
      <c r="D33" s="40"/>
      <c r="E33" s="41"/>
      <c r="F33" s="41"/>
      <c r="G33" s="40"/>
      <c r="H33" s="41"/>
      <c r="I33" s="45"/>
      <c r="J33" s="45"/>
      <c r="K33" s="46" t="str">
        <f ca="1" t="shared" si="0"/>
        <v/>
      </c>
      <c r="L33" s="47"/>
      <c r="M33" s="47"/>
      <c r="N33" s="46" t="str">
        <f>IF(ISBLANK(L33),"",L33*VLOOKUP($F33,Internal!$B$26:$C$32,2,FALSE))</f>
        <v/>
      </c>
      <c r="O33" s="46" t="str">
        <f>IF(ISBLANK(M33),"",M33*VLOOKUP($F33,Internal!$B$26:$C$32,2,FALSE))</f>
        <v/>
      </c>
      <c r="P33" s="40"/>
    </row>
    <row r="34" ht="14.25" spans="2:16">
      <c r="B34" s="38">
        <v>24</v>
      </c>
      <c r="C34" s="39" t="str">
        <f>IF(ISBLANK(D34),"",_xlfn.CONCAT("T",TEXT(B34,"0000"),"/",VLOOKUP(D34,Internal!$B$35:C$39,2,FALSE),IF(OR(D34="QA",D34="Revision"),_xlfn.CONCAT("/",H34),"")))</f>
        <v/>
      </c>
      <c r="D34" s="40"/>
      <c r="E34" s="41"/>
      <c r="F34" s="41"/>
      <c r="G34" s="40"/>
      <c r="H34" s="41"/>
      <c r="I34" s="45"/>
      <c r="J34" s="45"/>
      <c r="K34" s="46" t="str">
        <f ca="1" t="shared" si="0"/>
        <v/>
      </c>
      <c r="L34" s="47"/>
      <c r="M34" s="47"/>
      <c r="N34" s="46" t="str">
        <f>IF(ISBLANK(L34),"",L34*VLOOKUP($F34,Internal!$B$26:$C$32,2,FALSE))</f>
        <v/>
      </c>
      <c r="O34" s="46" t="str">
        <f>IF(ISBLANK(M34),"",M34*VLOOKUP($F34,Internal!$B$26:$C$32,2,FALSE))</f>
        <v/>
      </c>
      <c r="P34" s="40"/>
    </row>
    <row r="35" ht="14.25" spans="2:16">
      <c r="B35" s="38">
        <v>25</v>
      </c>
      <c r="C35" s="39" t="str">
        <f>IF(ISBLANK(D35),"",_xlfn.CONCAT("T",TEXT(B35,"0000"),"/",VLOOKUP(D35,Internal!$B$35:C$39,2,FALSE),IF(OR(D35="QA",D35="Revision"),_xlfn.CONCAT("/",H35),"")))</f>
        <v/>
      </c>
      <c r="D35" s="40"/>
      <c r="E35" s="41"/>
      <c r="F35" s="41"/>
      <c r="G35" s="40"/>
      <c r="H35" s="41"/>
      <c r="I35" s="45"/>
      <c r="J35" s="45"/>
      <c r="K35" s="46" t="str">
        <f ca="1" t="shared" si="0"/>
        <v/>
      </c>
      <c r="L35" s="47"/>
      <c r="M35" s="47"/>
      <c r="N35" s="46" t="str">
        <f>IF(ISBLANK(L35),"",L35*VLOOKUP($F35,Internal!$B$26:$C$32,2,FALSE))</f>
        <v/>
      </c>
      <c r="O35" s="46" t="str">
        <f>IF(ISBLANK(M35),"",M35*VLOOKUP($F35,Internal!$B$26:$C$32,2,FALSE))</f>
        <v/>
      </c>
      <c r="P35" s="40"/>
    </row>
    <row r="36" ht="14.25" spans="2:16">
      <c r="B36" s="38">
        <v>26</v>
      </c>
      <c r="C36" s="39" t="str">
        <f>IF(ISBLANK(D36),"",_xlfn.CONCAT("T",TEXT(B36,"0000"),"/",VLOOKUP(D36,Internal!$B$35:C$39,2,FALSE),IF(OR(D36="QA",D36="Revision"),_xlfn.CONCAT("/",H36),"")))</f>
        <v/>
      </c>
      <c r="D36" s="40"/>
      <c r="E36" s="41"/>
      <c r="F36" s="41"/>
      <c r="G36" s="40"/>
      <c r="H36" s="41"/>
      <c r="I36" s="45"/>
      <c r="J36" s="45"/>
      <c r="K36" s="46" t="str">
        <f ca="1" t="shared" si="0"/>
        <v/>
      </c>
      <c r="L36" s="47"/>
      <c r="M36" s="47"/>
      <c r="N36" s="46" t="str">
        <f>IF(ISBLANK(L36),"",L36*VLOOKUP($F36,Internal!$B$26:$C$32,2,FALSE))</f>
        <v/>
      </c>
      <c r="O36" s="46" t="str">
        <f>IF(ISBLANK(M36),"",M36*VLOOKUP($F36,Internal!$B$26:$C$32,2,FALSE))</f>
        <v/>
      </c>
      <c r="P36" s="40"/>
    </row>
    <row r="37" ht="14.25" spans="2:16">
      <c r="B37" s="38">
        <v>27</v>
      </c>
      <c r="C37" s="39" t="str">
        <f>IF(ISBLANK(D37),"",_xlfn.CONCAT("T",TEXT(B37,"0000"),"/",VLOOKUP(D37,Internal!$B$35:C$39,2,FALSE),IF(OR(D37="QA",D37="Revision"),_xlfn.CONCAT("/",H37),"")))</f>
        <v/>
      </c>
      <c r="D37" s="40"/>
      <c r="E37" s="41"/>
      <c r="F37" s="41"/>
      <c r="G37" s="40"/>
      <c r="H37" s="41"/>
      <c r="I37" s="45"/>
      <c r="J37" s="45"/>
      <c r="K37" s="46" t="str">
        <f ca="1" t="shared" si="0"/>
        <v/>
      </c>
      <c r="L37" s="47"/>
      <c r="M37" s="47"/>
      <c r="N37" s="46" t="str">
        <f>IF(ISBLANK(L37),"",L37*VLOOKUP($F37,Internal!$B$26:$C$32,2,FALSE))</f>
        <v/>
      </c>
      <c r="O37" s="46" t="str">
        <f>IF(ISBLANK(M37),"",M37*VLOOKUP($F37,Internal!$B$26:$C$32,2,FALSE))</f>
        <v/>
      </c>
      <c r="P37" s="40"/>
    </row>
    <row r="38" ht="14.25" spans="2:16">
      <c r="B38" s="38">
        <v>28</v>
      </c>
      <c r="C38" s="39" t="str">
        <f>IF(ISBLANK(D38),"",_xlfn.CONCAT("T",TEXT(B38,"0000"),"/",VLOOKUP(D38,Internal!$B$35:C$39,2,FALSE),IF(OR(D38="QA",D38="Revision"),_xlfn.CONCAT("/",H38),"")))</f>
        <v/>
      </c>
      <c r="D38" s="40"/>
      <c r="E38" s="41"/>
      <c r="F38" s="41"/>
      <c r="G38" s="40"/>
      <c r="H38" s="41"/>
      <c r="I38" s="45"/>
      <c r="J38" s="45"/>
      <c r="K38" s="46" t="str">
        <f ca="1" t="shared" si="0"/>
        <v/>
      </c>
      <c r="L38" s="47"/>
      <c r="M38" s="47"/>
      <c r="N38" s="46" t="str">
        <f>IF(ISBLANK(L38),"",L38*VLOOKUP($F38,Internal!$B$26:$C$32,2,FALSE))</f>
        <v/>
      </c>
      <c r="O38" s="46" t="str">
        <f>IF(ISBLANK(M38),"",M38*VLOOKUP($F38,Internal!$B$26:$C$32,2,FALSE))</f>
        <v/>
      </c>
      <c r="P38" s="40"/>
    </row>
    <row r="39" ht="14.25" spans="2:16">
      <c r="B39" s="38">
        <v>29</v>
      </c>
      <c r="C39" s="39" t="str">
        <f>IF(ISBLANK(D39),"",_xlfn.CONCAT("T",TEXT(B39,"0000"),"/",VLOOKUP(D39,Internal!$B$35:C$39,2,FALSE),IF(OR(D39="QA",D39="Revision"),_xlfn.CONCAT("/",H39),"")))</f>
        <v/>
      </c>
      <c r="D39" s="40"/>
      <c r="E39" s="41"/>
      <c r="F39" s="41"/>
      <c r="G39" s="40"/>
      <c r="H39" s="41"/>
      <c r="I39" s="45"/>
      <c r="J39" s="45"/>
      <c r="K39" s="46" t="str">
        <f ca="1" t="shared" si="0"/>
        <v/>
      </c>
      <c r="L39" s="47"/>
      <c r="M39" s="47"/>
      <c r="N39" s="46" t="str">
        <f>IF(ISBLANK(L39),"",L39*VLOOKUP($F39,Internal!$B$26:$C$32,2,FALSE))</f>
        <v/>
      </c>
      <c r="O39" s="46" t="str">
        <f>IF(ISBLANK(M39),"",M39*VLOOKUP($F39,Internal!$B$26:$C$32,2,FALSE))</f>
        <v/>
      </c>
      <c r="P39" s="40"/>
    </row>
    <row r="40" ht="14.25" spans="2:16">
      <c r="B40" s="38">
        <v>30</v>
      </c>
      <c r="C40" s="39" t="str">
        <f>IF(ISBLANK(D40),"",_xlfn.CONCAT("T",TEXT(B40,"0000"),"/",VLOOKUP(D40,Internal!$B$35:C$39,2,FALSE),IF(OR(D40="QA",D40="Revision"),_xlfn.CONCAT("/",H40),"")))</f>
        <v/>
      </c>
      <c r="D40" s="40"/>
      <c r="E40" s="41"/>
      <c r="F40" s="41"/>
      <c r="G40" s="40"/>
      <c r="H40" s="41"/>
      <c r="I40" s="45"/>
      <c r="J40" s="45"/>
      <c r="K40" s="46" t="str">
        <f ca="1" t="shared" si="0"/>
        <v/>
      </c>
      <c r="L40" s="47"/>
      <c r="M40" s="47"/>
      <c r="N40" s="46" t="str">
        <f>IF(ISBLANK(L40),"",L40*VLOOKUP($F40,Internal!$B$26:$C$32,2,FALSE))</f>
        <v/>
      </c>
      <c r="O40" s="46" t="str">
        <f>IF(ISBLANK(M40),"",M40*VLOOKUP($F40,Internal!$B$26:$C$32,2,FALSE))</f>
        <v/>
      </c>
      <c r="P40" s="40"/>
    </row>
    <row r="41" ht="14.25" spans="2:16">
      <c r="B41" s="38">
        <v>31</v>
      </c>
      <c r="C41" s="39" t="str">
        <f>IF(ISBLANK(D41),"",_xlfn.CONCAT("T",TEXT(B41,"0000"),"/",VLOOKUP(D41,Internal!$B$35:C$39,2,FALSE),IF(OR(D41="QA",D41="Revision"),_xlfn.CONCAT("/",H41),"")))</f>
        <v/>
      </c>
      <c r="D41" s="40"/>
      <c r="E41" s="41"/>
      <c r="F41" s="41"/>
      <c r="G41" s="40"/>
      <c r="H41" s="41"/>
      <c r="I41" s="45"/>
      <c r="J41" s="45"/>
      <c r="K41" s="46" t="str">
        <f ca="1" t="shared" si="0"/>
        <v/>
      </c>
      <c r="L41" s="47"/>
      <c r="M41" s="47"/>
      <c r="N41" s="46" t="str">
        <f>IF(ISBLANK(L41),"",L41*VLOOKUP($F41,Internal!$B$26:$C$32,2,FALSE))</f>
        <v/>
      </c>
      <c r="O41" s="46" t="str">
        <f>IF(ISBLANK(M41),"",M41*VLOOKUP($F41,Internal!$B$26:$C$32,2,FALSE))</f>
        <v/>
      </c>
      <c r="P41" s="40"/>
    </row>
    <row r="42" ht="14.25" spans="2:16">
      <c r="B42" s="38">
        <v>32</v>
      </c>
      <c r="C42" s="39" t="str">
        <f>IF(ISBLANK(D42),"",_xlfn.CONCAT("T",TEXT(B42,"0000"),"/",VLOOKUP(D42,Internal!$B$35:C$39,2,FALSE),IF(OR(D42="QA",D42="Revision"),_xlfn.CONCAT("/",H42),"")))</f>
        <v/>
      </c>
      <c r="D42" s="40"/>
      <c r="E42" s="41"/>
      <c r="F42" s="41"/>
      <c r="G42" s="40"/>
      <c r="H42" s="41"/>
      <c r="I42" s="45"/>
      <c r="J42" s="45"/>
      <c r="K42" s="46" t="str">
        <f ca="1" t="shared" si="0"/>
        <v/>
      </c>
      <c r="L42" s="47"/>
      <c r="M42" s="47"/>
      <c r="N42" s="46" t="str">
        <f>IF(ISBLANK(L42),"",L42*VLOOKUP($F42,Internal!$B$26:$C$32,2,FALSE))</f>
        <v/>
      </c>
      <c r="O42" s="46" t="str">
        <f>IF(ISBLANK(M42),"",M42*VLOOKUP($F42,Internal!$B$26:$C$32,2,FALSE))</f>
        <v/>
      </c>
      <c r="P42" s="40"/>
    </row>
    <row r="43" ht="14.25" spans="2:16">
      <c r="B43" s="38">
        <v>33</v>
      </c>
      <c r="C43" s="39" t="str">
        <f>IF(ISBLANK(D43),"",_xlfn.CONCAT("T",TEXT(B43,"0000"),"/",VLOOKUP(D43,Internal!$B$35:C$39,2,FALSE),IF(OR(D43="QA",D43="Revision"),_xlfn.CONCAT("/",H43),"")))</f>
        <v/>
      </c>
      <c r="D43" s="40"/>
      <c r="E43" s="41"/>
      <c r="F43" s="41"/>
      <c r="G43" s="40"/>
      <c r="H43" s="41"/>
      <c r="I43" s="45"/>
      <c r="J43" s="45"/>
      <c r="K43" s="46" t="str">
        <f ca="1" t="shared" si="0"/>
        <v/>
      </c>
      <c r="L43" s="47"/>
      <c r="M43" s="47"/>
      <c r="N43" s="46" t="str">
        <f>IF(ISBLANK(L43),"",L43*VLOOKUP($F43,Internal!$B$26:$C$32,2,FALSE))</f>
        <v/>
      </c>
      <c r="O43" s="46" t="str">
        <f>IF(ISBLANK(M43),"",M43*VLOOKUP($F43,Internal!$B$26:$C$32,2,FALSE))</f>
        <v/>
      </c>
      <c r="P43" s="40"/>
    </row>
    <row r="44" ht="14.25" spans="2:16">
      <c r="B44" s="38">
        <v>34</v>
      </c>
      <c r="C44" s="39" t="str">
        <f>IF(ISBLANK(D44),"",_xlfn.CONCAT("T",TEXT(B44,"0000"),"/",VLOOKUP(D44,Internal!$B$35:C$39,2,FALSE),IF(OR(D44="QA",D44="Revision"),_xlfn.CONCAT("/",H44),"")))</f>
        <v/>
      </c>
      <c r="D44" s="40"/>
      <c r="E44" s="41"/>
      <c r="F44" s="41"/>
      <c r="G44" s="40"/>
      <c r="H44" s="41"/>
      <c r="I44" s="45"/>
      <c r="J44" s="45"/>
      <c r="K44" s="46" t="str">
        <f ca="1" t="shared" si="0"/>
        <v/>
      </c>
      <c r="L44" s="47"/>
      <c r="M44" s="47"/>
      <c r="N44" s="46" t="str">
        <f>IF(ISBLANK(L44),"",L44*VLOOKUP($F44,Internal!$B$26:$C$32,2,FALSE))</f>
        <v/>
      </c>
      <c r="O44" s="46" t="str">
        <f>IF(ISBLANK(M44),"",M44*VLOOKUP($F44,Internal!$B$26:$C$32,2,FALSE))</f>
        <v/>
      </c>
      <c r="P44" s="40"/>
    </row>
    <row r="45" ht="14.25" spans="2:16">
      <c r="B45" s="38">
        <v>35</v>
      </c>
      <c r="C45" s="39" t="str">
        <f>IF(ISBLANK(D45),"",_xlfn.CONCAT("T",TEXT(B45,"0000"),"/",VLOOKUP(D45,Internal!$B$35:C$39,2,FALSE),IF(OR(D45="QA",D45="Revision"),_xlfn.CONCAT("/",H45),"")))</f>
        <v/>
      </c>
      <c r="D45" s="40"/>
      <c r="E45" s="41"/>
      <c r="F45" s="41"/>
      <c r="G45" s="40"/>
      <c r="H45" s="41"/>
      <c r="I45" s="45"/>
      <c r="J45" s="45"/>
      <c r="K45" s="46" t="str">
        <f ca="1" t="shared" si="0"/>
        <v/>
      </c>
      <c r="L45" s="47"/>
      <c r="M45" s="47"/>
      <c r="N45" s="46" t="str">
        <f>IF(ISBLANK(L45),"",L45*VLOOKUP($F45,Internal!$B$26:$C$32,2,FALSE))</f>
        <v/>
      </c>
      <c r="O45" s="46" t="str">
        <f>IF(ISBLANK(M45),"",M45*VLOOKUP($F45,Internal!$B$26:$C$32,2,FALSE))</f>
        <v/>
      </c>
      <c r="P45" s="40"/>
    </row>
    <row r="46" ht="14.25" spans="2:16">
      <c r="B46" s="38">
        <v>36</v>
      </c>
      <c r="C46" s="39" t="str">
        <f>IF(ISBLANK(D46),"",_xlfn.CONCAT("T",TEXT(B46,"0000"),"/",VLOOKUP(D46,Internal!$B$35:C$39,2,FALSE),IF(OR(D46="QA",D46="Revision"),_xlfn.CONCAT("/",H46),"")))</f>
        <v/>
      </c>
      <c r="D46" s="40"/>
      <c r="E46" s="41"/>
      <c r="F46" s="41"/>
      <c r="G46" s="40"/>
      <c r="H46" s="41"/>
      <c r="I46" s="45"/>
      <c r="J46" s="45"/>
      <c r="K46" s="46" t="str">
        <f ca="1" t="shared" si="0"/>
        <v/>
      </c>
      <c r="L46" s="47"/>
      <c r="M46" s="47"/>
      <c r="N46" s="46" t="str">
        <f>IF(ISBLANK(L46),"",L46*VLOOKUP($F46,Internal!$B$26:$C$32,2,FALSE))</f>
        <v/>
      </c>
      <c r="O46" s="46" t="str">
        <f>IF(ISBLANK(M46),"",M46*VLOOKUP($F46,Internal!$B$26:$C$32,2,FALSE))</f>
        <v/>
      </c>
      <c r="P46" s="40"/>
    </row>
    <row r="47" ht="14.25" spans="2:16">
      <c r="B47" s="38">
        <v>37</v>
      </c>
      <c r="C47" s="39" t="str">
        <f>IF(ISBLANK(D47),"",_xlfn.CONCAT("T",TEXT(B47,"0000"),"/",VLOOKUP(D47,Internal!$B$35:C$39,2,FALSE),IF(OR(D47="QA",D47="Revision"),_xlfn.CONCAT("/",H47),"")))</f>
        <v/>
      </c>
      <c r="D47" s="40"/>
      <c r="E47" s="41"/>
      <c r="F47" s="41"/>
      <c r="G47" s="40"/>
      <c r="H47" s="41"/>
      <c r="I47" s="45"/>
      <c r="J47" s="45"/>
      <c r="K47" s="46" t="str">
        <f ca="1" t="shared" si="0"/>
        <v/>
      </c>
      <c r="L47" s="47"/>
      <c r="M47" s="47"/>
      <c r="N47" s="46" t="str">
        <f>IF(ISBLANK(L47),"",L47*VLOOKUP($F47,Internal!$B$26:$C$32,2,FALSE))</f>
        <v/>
      </c>
      <c r="O47" s="46" t="str">
        <f>IF(ISBLANK(M47),"",M47*VLOOKUP($F47,Internal!$B$26:$C$32,2,FALSE))</f>
        <v/>
      </c>
      <c r="P47" s="40"/>
    </row>
    <row r="48" ht="14.25" spans="2:16">
      <c r="B48" s="38">
        <v>38</v>
      </c>
      <c r="C48" s="39" t="str">
        <f>IF(ISBLANK(D48),"",_xlfn.CONCAT("T",TEXT(B48,"0000"),"/",VLOOKUP(D48,Internal!$B$35:C$39,2,FALSE),IF(OR(D48="QA",D48="Revision"),_xlfn.CONCAT("/",H48),"")))</f>
        <v/>
      </c>
      <c r="D48" s="40"/>
      <c r="E48" s="41"/>
      <c r="F48" s="41"/>
      <c r="G48" s="40"/>
      <c r="H48" s="41"/>
      <c r="I48" s="45"/>
      <c r="J48" s="45"/>
      <c r="K48" s="46" t="str">
        <f ca="1" t="shared" si="0"/>
        <v/>
      </c>
      <c r="L48" s="47"/>
      <c r="M48" s="47"/>
      <c r="N48" s="46" t="str">
        <f>IF(ISBLANK(L48),"",L48*VLOOKUP($F48,Internal!$B$26:$C$32,2,FALSE))</f>
        <v/>
      </c>
      <c r="O48" s="46" t="str">
        <f>IF(ISBLANK(M48),"",M48*VLOOKUP($F48,Internal!$B$26:$C$32,2,FALSE))</f>
        <v/>
      </c>
      <c r="P48" s="40"/>
    </row>
    <row r="49" ht="14.25" spans="2:16">
      <c r="B49" s="38">
        <v>39</v>
      </c>
      <c r="C49" s="39" t="str">
        <f>IF(ISBLANK(D49),"",_xlfn.CONCAT("T",TEXT(B49,"0000"),"/",VLOOKUP(D49,Internal!$B$35:C$39,2,FALSE),IF(OR(D49="QA",D49="Revision"),_xlfn.CONCAT("/",H49),"")))</f>
        <v/>
      </c>
      <c r="D49" s="40"/>
      <c r="E49" s="41"/>
      <c r="F49" s="41"/>
      <c r="G49" s="40"/>
      <c r="H49" s="41"/>
      <c r="I49" s="45"/>
      <c r="J49" s="45"/>
      <c r="K49" s="46" t="str">
        <f ca="1" t="shared" si="0"/>
        <v/>
      </c>
      <c r="L49" s="47"/>
      <c r="M49" s="47"/>
      <c r="N49" s="46" t="str">
        <f>IF(ISBLANK(L49),"",L49*VLOOKUP($F49,Internal!$B$26:$C$32,2,FALSE))</f>
        <v/>
      </c>
      <c r="O49" s="46" t="str">
        <f>IF(ISBLANK(M49),"",M49*VLOOKUP($F49,Internal!$B$26:$C$32,2,FALSE))</f>
        <v/>
      </c>
      <c r="P49" s="40"/>
    </row>
    <row r="50" ht="14.25" spans="2:16">
      <c r="B50" s="38">
        <v>40</v>
      </c>
      <c r="C50" s="39" t="str">
        <f>IF(ISBLANK(D50),"",_xlfn.CONCAT("T",TEXT(B50,"0000"),"/",VLOOKUP(D50,Internal!$B$35:C$39,2,FALSE),IF(OR(D50="QA",D50="Revision"),_xlfn.CONCAT("/",H50),"")))</f>
        <v/>
      </c>
      <c r="D50" s="40"/>
      <c r="E50" s="41"/>
      <c r="F50" s="41"/>
      <c r="G50" s="40"/>
      <c r="H50" s="41"/>
      <c r="I50" s="45"/>
      <c r="J50" s="45"/>
      <c r="K50" s="46" t="str">
        <f ca="1" t="shared" si="0"/>
        <v/>
      </c>
      <c r="L50" s="47"/>
      <c r="M50" s="47"/>
      <c r="N50" s="46" t="str">
        <f>IF(ISBLANK(L50),"",L50*VLOOKUP($F50,Internal!$B$26:$C$32,2,FALSE))</f>
        <v/>
      </c>
      <c r="O50" s="46" t="str">
        <f>IF(ISBLANK(M50),"",M50*VLOOKUP($F50,Internal!$B$26:$C$32,2,FALSE))</f>
        <v/>
      </c>
      <c r="P50" s="40"/>
    </row>
    <row r="51" ht="14.25" spans="2:16">
      <c r="B51" s="38">
        <v>41</v>
      </c>
      <c r="C51" s="39" t="str">
        <f>IF(ISBLANK(D51),"",_xlfn.CONCAT("T",TEXT(B51,"0000"),"/",VLOOKUP(D51,Internal!$B$35:C$39,2,FALSE),IF(OR(D51="QA",D51="Revision"),_xlfn.CONCAT("/",H51),"")))</f>
        <v/>
      </c>
      <c r="D51" s="40"/>
      <c r="E51" s="41"/>
      <c r="F51" s="41"/>
      <c r="G51" s="40"/>
      <c r="H51" s="41"/>
      <c r="I51" s="45"/>
      <c r="J51" s="45"/>
      <c r="K51" s="46" t="str">
        <f ca="1" t="shared" si="0"/>
        <v/>
      </c>
      <c r="L51" s="47"/>
      <c r="M51" s="47"/>
      <c r="N51" s="46" t="str">
        <f>IF(ISBLANK(L51),"",L51*VLOOKUP($F51,Internal!$B$26:$C$32,2,FALSE))</f>
        <v/>
      </c>
      <c r="O51" s="46" t="str">
        <f>IF(ISBLANK(M51),"",M51*VLOOKUP($F51,Internal!$B$26:$C$32,2,FALSE))</f>
        <v/>
      </c>
      <c r="P51" s="40"/>
    </row>
    <row r="52" ht="14.25" spans="2:16">
      <c r="B52" s="38">
        <v>42</v>
      </c>
      <c r="C52" s="39" t="str">
        <f>IF(ISBLANK(D52),"",_xlfn.CONCAT("T",TEXT(B52,"0000"),"/",VLOOKUP(D52,Internal!$B$35:C$39,2,FALSE),IF(OR(D52="QA",D52="Revision"),_xlfn.CONCAT("/",H52),"")))</f>
        <v/>
      </c>
      <c r="D52" s="40"/>
      <c r="E52" s="41"/>
      <c r="F52" s="41"/>
      <c r="G52" s="40"/>
      <c r="H52" s="41"/>
      <c r="I52" s="45"/>
      <c r="J52" s="45"/>
      <c r="K52" s="46" t="str">
        <f ca="1" t="shared" si="0"/>
        <v/>
      </c>
      <c r="L52" s="47"/>
      <c r="M52" s="47"/>
      <c r="N52" s="46" t="str">
        <f>IF(ISBLANK(L52),"",L52*VLOOKUP($F52,Internal!$B$26:$C$32,2,FALSE))</f>
        <v/>
      </c>
      <c r="O52" s="46" t="str">
        <f>IF(ISBLANK(M52),"",M52*VLOOKUP($F52,Internal!$B$26:$C$32,2,FALSE))</f>
        <v/>
      </c>
      <c r="P52" s="40"/>
    </row>
    <row r="53" ht="14.25" spans="2:16">
      <c r="B53" s="38">
        <v>43</v>
      </c>
      <c r="C53" s="39" t="str">
        <f>IF(ISBLANK(D53),"",_xlfn.CONCAT("T",TEXT(B53,"0000"),"/",VLOOKUP(D53,Internal!$B$35:C$39,2,FALSE),IF(OR(D53="QA",D53="Revision"),_xlfn.CONCAT("/",H53),"")))</f>
        <v/>
      </c>
      <c r="D53" s="40"/>
      <c r="E53" s="41"/>
      <c r="F53" s="41"/>
      <c r="G53" s="40"/>
      <c r="H53" s="41"/>
      <c r="I53" s="45"/>
      <c r="J53" s="45"/>
      <c r="K53" s="46" t="str">
        <f ca="1" t="shared" si="0"/>
        <v/>
      </c>
      <c r="L53" s="47"/>
      <c r="M53" s="47"/>
      <c r="N53" s="46" t="str">
        <f>IF(ISBLANK(L53),"",L53*VLOOKUP($F53,Internal!$B$26:$C$32,2,FALSE))</f>
        <v/>
      </c>
      <c r="O53" s="46" t="str">
        <f>IF(ISBLANK(M53),"",M53*VLOOKUP($F53,Internal!$B$26:$C$32,2,FALSE))</f>
        <v/>
      </c>
      <c r="P53" s="40"/>
    </row>
    <row r="54" ht="14.25" spans="2:16">
      <c r="B54" s="38">
        <v>44</v>
      </c>
      <c r="C54" s="39" t="str">
        <f>IF(ISBLANK(D54),"",_xlfn.CONCAT("T",TEXT(B54,"0000"),"/",VLOOKUP(D54,Internal!$B$35:C$39,2,FALSE),IF(OR(D54="QA",D54="Revision"),_xlfn.CONCAT("/",H54),"")))</f>
        <v/>
      </c>
      <c r="D54" s="40"/>
      <c r="E54" s="41"/>
      <c r="F54" s="41"/>
      <c r="G54" s="40"/>
      <c r="H54" s="41"/>
      <c r="I54" s="45"/>
      <c r="J54" s="45"/>
      <c r="K54" s="46" t="str">
        <f ca="1" t="shared" si="0"/>
        <v/>
      </c>
      <c r="L54" s="47"/>
      <c r="M54" s="47"/>
      <c r="N54" s="46" t="str">
        <f>IF(ISBLANK(L54),"",L54*VLOOKUP($F54,Internal!$B$26:$C$32,2,FALSE))</f>
        <v/>
      </c>
      <c r="O54" s="46" t="str">
        <f>IF(ISBLANK(M54),"",M54*VLOOKUP($F54,Internal!$B$26:$C$32,2,FALSE))</f>
        <v/>
      </c>
      <c r="P54" s="40"/>
    </row>
    <row r="55" ht="14.25" spans="2:16">
      <c r="B55" s="38">
        <v>45</v>
      </c>
      <c r="C55" s="39" t="str">
        <f>IF(ISBLANK(D55),"",_xlfn.CONCAT("T",TEXT(B55,"0000"),"/",VLOOKUP(D55,Internal!$B$35:C$39,2,FALSE),IF(OR(D55="QA",D55="Revision"),_xlfn.CONCAT("/",H55),"")))</f>
        <v/>
      </c>
      <c r="D55" s="40"/>
      <c r="E55" s="41"/>
      <c r="F55" s="41"/>
      <c r="G55" s="40"/>
      <c r="H55" s="41"/>
      <c r="I55" s="45"/>
      <c r="J55" s="45"/>
      <c r="K55" s="46" t="str">
        <f ca="1" t="shared" si="0"/>
        <v/>
      </c>
      <c r="L55" s="47"/>
      <c r="M55" s="47"/>
      <c r="N55" s="46" t="str">
        <f>IF(ISBLANK(L55),"",L55*VLOOKUP($F55,Internal!$B$26:$C$32,2,FALSE))</f>
        <v/>
      </c>
      <c r="O55" s="46" t="str">
        <f>IF(ISBLANK(M55),"",M55*VLOOKUP($F55,Internal!$B$26:$C$32,2,FALSE))</f>
        <v/>
      </c>
      <c r="P55" s="40"/>
    </row>
    <row r="56" ht="14.25" spans="2:16">
      <c r="B56" s="38">
        <v>46</v>
      </c>
      <c r="C56" s="39" t="str">
        <f>IF(ISBLANK(D56),"",_xlfn.CONCAT("T",TEXT(B56,"0000"),"/",VLOOKUP(D56,Internal!$B$35:C$39,2,FALSE),IF(OR(D56="QA",D56="Revision"),_xlfn.CONCAT("/",H56),"")))</f>
        <v/>
      </c>
      <c r="D56" s="40"/>
      <c r="E56" s="41"/>
      <c r="F56" s="41"/>
      <c r="G56" s="40"/>
      <c r="H56" s="41"/>
      <c r="I56" s="45"/>
      <c r="J56" s="45"/>
      <c r="K56" s="46" t="str">
        <f ca="1" t="shared" si="0"/>
        <v/>
      </c>
      <c r="L56" s="47"/>
      <c r="M56" s="47"/>
      <c r="N56" s="46" t="str">
        <f>IF(ISBLANK(L56),"",L56*VLOOKUP($F56,Internal!$B$26:$C$32,2,FALSE))</f>
        <v/>
      </c>
      <c r="O56" s="46" t="str">
        <f>IF(ISBLANK(M56),"",M56*VLOOKUP($F56,Internal!$B$26:$C$32,2,FALSE))</f>
        <v/>
      </c>
      <c r="P56" s="40"/>
    </row>
    <row r="57" ht="14.25" spans="2:16">
      <c r="B57" s="38">
        <v>47</v>
      </c>
      <c r="C57" s="39" t="str">
        <f>IF(ISBLANK(D57),"",_xlfn.CONCAT("T",TEXT(B57,"0000"),"/",VLOOKUP(D57,Internal!$B$35:C$39,2,FALSE),IF(OR(D57="QA",D57="Revision"),_xlfn.CONCAT("/",H57),"")))</f>
        <v/>
      </c>
      <c r="D57" s="40"/>
      <c r="E57" s="41"/>
      <c r="F57" s="41"/>
      <c r="G57" s="40"/>
      <c r="H57" s="41"/>
      <c r="I57" s="45"/>
      <c r="J57" s="45"/>
      <c r="K57" s="46" t="str">
        <f ca="1" t="shared" si="0"/>
        <v/>
      </c>
      <c r="L57" s="47"/>
      <c r="M57" s="47"/>
      <c r="N57" s="46" t="str">
        <f>IF(ISBLANK(L57),"",L57*VLOOKUP($F57,Internal!$B$26:$C$32,2,FALSE))</f>
        <v/>
      </c>
      <c r="O57" s="46" t="str">
        <f>IF(ISBLANK(M57),"",M57*VLOOKUP($F57,Internal!$B$26:$C$32,2,FALSE))</f>
        <v/>
      </c>
      <c r="P57" s="40"/>
    </row>
    <row r="58" ht="14.25" spans="2:16">
      <c r="B58" s="38">
        <v>48</v>
      </c>
      <c r="C58" s="39" t="str">
        <f>IF(ISBLANK(D58),"",_xlfn.CONCAT("T",TEXT(B58,"0000"),"/",VLOOKUP(D58,Internal!$B$35:C$39,2,FALSE),IF(OR(D58="QA",D58="Revision"),_xlfn.CONCAT("/",H58),"")))</f>
        <v/>
      </c>
      <c r="D58" s="40"/>
      <c r="E58" s="41"/>
      <c r="F58" s="41"/>
      <c r="G58" s="40"/>
      <c r="H58" s="41"/>
      <c r="I58" s="45"/>
      <c r="J58" s="45"/>
      <c r="K58" s="46" t="str">
        <f ca="1" t="shared" si="0"/>
        <v/>
      </c>
      <c r="L58" s="47"/>
      <c r="M58" s="47"/>
      <c r="N58" s="46" t="str">
        <f>IF(ISBLANK(L58),"",L58*VLOOKUP($F58,Internal!$B$26:$C$32,2,FALSE))</f>
        <v/>
      </c>
      <c r="O58" s="46" t="str">
        <f>IF(ISBLANK(M58),"",M58*VLOOKUP($F58,Internal!$B$26:$C$32,2,FALSE))</f>
        <v/>
      </c>
      <c r="P58" s="40"/>
    </row>
    <row r="59" ht="14.25" spans="2:16">
      <c r="B59" s="38">
        <v>49</v>
      </c>
      <c r="C59" s="39" t="str">
        <f>IF(ISBLANK(D59),"",_xlfn.CONCAT("T",TEXT(B59,"0000"),"/",VLOOKUP(D59,Internal!$B$35:C$39,2,FALSE),IF(OR(D59="QA",D59="Revision"),_xlfn.CONCAT("/",H59),"")))</f>
        <v/>
      </c>
      <c r="D59" s="40"/>
      <c r="E59" s="41"/>
      <c r="F59" s="41"/>
      <c r="G59" s="40"/>
      <c r="H59" s="41"/>
      <c r="I59" s="45"/>
      <c r="J59" s="45"/>
      <c r="K59" s="46" t="str">
        <f ca="1" t="shared" si="0"/>
        <v/>
      </c>
      <c r="L59" s="47"/>
      <c r="M59" s="47"/>
      <c r="N59" s="46" t="str">
        <f>IF(ISBLANK(L59),"",L59*VLOOKUP($F59,Internal!$B$26:$C$32,2,FALSE))</f>
        <v/>
      </c>
      <c r="O59" s="46" t="str">
        <f>IF(ISBLANK(M59),"",M59*VLOOKUP($F59,Internal!$B$26:$C$32,2,FALSE))</f>
        <v/>
      </c>
      <c r="P59" s="40"/>
    </row>
    <row r="60" ht="14.25" spans="2:16">
      <c r="B60" s="38">
        <v>50</v>
      </c>
      <c r="C60" s="39" t="str">
        <f>IF(ISBLANK(D60),"",_xlfn.CONCAT("T",TEXT(B60,"0000"),"/",VLOOKUP(D60,Internal!$B$35:C$39,2,FALSE),IF(OR(D60="QA",D60="Revision"),_xlfn.CONCAT("/",H60),"")))</f>
        <v/>
      </c>
      <c r="D60" s="40"/>
      <c r="E60" s="41"/>
      <c r="F60" s="41"/>
      <c r="G60" s="40"/>
      <c r="H60" s="41"/>
      <c r="I60" s="45"/>
      <c r="J60" s="45"/>
      <c r="K60" s="46" t="str">
        <f ca="1" t="shared" si="0"/>
        <v/>
      </c>
      <c r="L60" s="47"/>
      <c r="M60" s="47"/>
      <c r="N60" s="46" t="str">
        <f>IF(ISBLANK(L60),"",L60*VLOOKUP($F60,Internal!$B$26:$C$32,2,FALSE))</f>
        <v/>
      </c>
      <c r="O60" s="46" t="str">
        <f>IF(ISBLANK(M60),"",M60*VLOOKUP($F60,Internal!$B$26:$C$32,2,FALSE))</f>
        <v/>
      </c>
      <c r="P60" s="40"/>
    </row>
    <row r="61" ht="14.25" spans="2:16">
      <c r="B61" s="38">
        <v>51</v>
      </c>
      <c r="C61" s="39" t="str">
        <f>IF(ISBLANK(D61),"",_xlfn.CONCAT("T",TEXT(B61,"0000"),"/",VLOOKUP(D61,Internal!$B$35:C$39,2,FALSE),IF(OR(D61="QA",D61="Revision"),_xlfn.CONCAT("/",H61),"")))</f>
        <v/>
      </c>
      <c r="D61" s="40"/>
      <c r="E61" s="41"/>
      <c r="F61" s="41"/>
      <c r="G61" s="40"/>
      <c r="H61" s="41"/>
      <c r="I61" s="45"/>
      <c r="J61" s="45"/>
      <c r="K61" s="46" t="str">
        <f ca="1" t="shared" si="0"/>
        <v/>
      </c>
      <c r="L61" s="47"/>
      <c r="M61" s="47"/>
      <c r="N61" s="46" t="str">
        <f>IF(ISBLANK(L61),"",L61*VLOOKUP($F61,Internal!$B$26:$C$32,2,FALSE))</f>
        <v/>
      </c>
      <c r="O61" s="46" t="str">
        <f>IF(ISBLANK(M61),"",M61*VLOOKUP($F61,Internal!$B$26:$C$32,2,FALSE))</f>
        <v/>
      </c>
      <c r="P61" s="40"/>
    </row>
    <row r="62" ht="14.25" spans="2:16">
      <c r="B62" s="38">
        <v>52</v>
      </c>
      <c r="C62" s="39" t="str">
        <f>IF(ISBLANK(D62),"",_xlfn.CONCAT("T",TEXT(B62,"0000"),"/",VLOOKUP(D62,Internal!$B$35:C$39,2,FALSE),IF(OR(D62="QA",D62="Revision"),_xlfn.CONCAT("/",H62),"")))</f>
        <v/>
      </c>
      <c r="D62" s="40"/>
      <c r="E62" s="41"/>
      <c r="F62" s="41"/>
      <c r="G62" s="40"/>
      <c r="H62" s="41"/>
      <c r="I62" s="45"/>
      <c r="J62" s="45"/>
      <c r="K62" s="46" t="str">
        <f ca="1" t="shared" si="0"/>
        <v/>
      </c>
      <c r="L62" s="47"/>
      <c r="M62" s="47"/>
      <c r="N62" s="46" t="str">
        <f>IF(ISBLANK(L62),"",L62*VLOOKUP($F62,Internal!$B$26:$C$32,2,FALSE))</f>
        <v/>
      </c>
      <c r="O62" s="46" t="str">
        <f>IF(ISBLANK(M62),"",M62*VLOOKUP($F62,Internal!$B$26:$C$32,2,FALSE))</f>
        <v/>
      </c>
      <c r="P62" s="40"/>
    </row>
    <row r="63" ht="14.25" spans="2:16">
      <c r="B63" s="38">
        <v>53</v>
      </c>
      <c r="C63" s="39" t="str">
        <f>IF(ISBLANK(D63),"",_xlfn.CONCAT("T",TEXT(B63,"0000"),"/",VLOOKUP(D63,Internal!$B$35:C$39,2,FALSE),IF(OR(D63="QA",D63="Revision"),_xlfn.CONCAT("/",H63),"")))</f>
        <v/>
      </c>
      <c r="D63" s="40"/>
      <c r="E63" s="41"/>
      <c r="F63" s="41"/>
      <c r="G63" s="40"/>
      <c r="H63" s="41"/>
      <c r="I63" s="45"/>
      <c r="J63" s="45"/>
      <c r="K63" s="46" t="str">
        <f ca="1" t="shared" si="0"/>
        <v/>
      </c>
      <c r="L63" s="47"/>
      <c r="M63" s="47"/>
      <c r="N63" s="46" t="str">
        <f>IF(ISBLANK(L63),"",L63*VLOOKUP($F63,Internal!$B$26:$C$32,2,FALSE))</f>
        <v/>
      </c>
      <c r="O63" s="46" t="str">
        <f>IF(ISBLANK(M63),"",M63*VLOOKUP($F63,Internal!$B$26:$C$32,2,FALSE))</f>
        <v/>
      </c>
      <c r="P63" s="40"/>
    </row>
    <row r="64" ht="14.25" spans="2:16">
      <c r="B64" s="38">
        <v>54</v>
      </c>
      <c r="C64" s="39" t="str">
        <f>IF(ISBLANK(D64),"",_xlfn.CONCAT("T",TEXT(B64,"0000"),"/",VLOOKUP(D64,Internal!$B$35:C$39,2,FALSE),IF(OR(D64="QA",D64="Revision"),_xlfn.CONCAT("/",H64),"")))</f>
        <v/>
      </c>
      <c r="D64" s="40"/>
      <c r="E64" s="41"/>
      <c r="F64" s="41"/>
      <c r="G64" s="40"/>
      <c r="H64" s="41"/>
      <c r="I64" s="45"/>
      <c r="J64" s="45"/>
      <c r="K64" s="46" t="str">
        <f ca="1" t="shared" si="0"/>
        <v/>
      </c>
      <c r="L64" s="47"/>
      <c r="M64" s="47"/>
      <c r="N64" s="46" t="str">
        <f>IF(ISBLANK(L64),"",L64*VLOOKUP($F64,Internal!$B$26:$C$32,2,FALSE))</f>
        <v/>
      </c>
      <c r="O64" s="46" t="str">
        <f>IF(ISBLANK(M64),"",M64*VLOOKUP($F64,Internal!$B$26:$C$32,2,FALSE))</f>
        <v/>
      </c>
      <c r="P64" s="40"/>
    </row>
    <row r="65" ht="14.25" spans="2:16">
      <c r="B65" s="38">
        <v>55</v>
      </c>
      <c r="C65" s="39" t="str">
        <f>IF(ISBLANK(D65),"",_xlfn.CONCAT("T",TEXT(B65,"0000"),"/",VLOOKUP(D65,Internal!$B$35:C$39,2,FALSE),IF(OR(D65="QA",D65="Revision"),_xlfn.CONCAT("/",H65),"")))</f>
        <v/>
      </c>
      <c r="D65" s="40"/>
      <c r="E65" s="41"/>
      <c r="F65" s="41"/>
      <c r="G65" s="40"/>
      <c r="H65" s="41"/>
      <c r="I65" s="45"/>
      <c r="J65" s="45"/>
      <c r="K65" s="46" t="str">
        <f ca="1" t="shared" si="0"/>
        <v/>
      </c>
      <c r="L65" s="47"/>
      <c r="M65" s="47"/>
      <c r="N65" s="46" t="str">
        <f>IF(ISBLANK(L65),"",L65*VLOOKUP($F65,Internal!$B$26:$C$32,2,FALSE))</f>
        <v/>
      </c>
      <c r="O65" s="46" t="str">
        <f>IF(ISBLANK(M65),"",M65*VLOOKUP($F65,Internal!$B$26:$C$32,2,FALSE))</f>
        <v/>
      </c>
      <c r="P65" s="40"/>
    </row>
    <row r="66" ht="14.25" spans="2:16">
      <c r="B66" s="38">
        <v>56</v>
      </c>
      <c r="C66" s="39" t="str">
        <f>IF(ISBLANK(D66),"",_xlfn.CONCAT("T",TEXT(B66,"0000"),"/",VLOOKUP(D66,Internal!$B$35:C$39,2,FALSE),IF(OR(D66="QA",D66="Revision"),_xlfn.CONCAT("/",H66),"")))</f>
        <v/>
      </c>
      <c r="D66" s="40"/>
      <c r="E66" s="41"/>
      <c r="F66" s="41"/>
      <c r="G66" s="40"/>
      <c r="H66" s="41"/>
      <c r="I66" s="45"/>
      <c r="J66" s="45"/>
      <c r="K66" s="46" t="str">
        <f ca="1" t="shared" si="0"/>
        <v/>
      </c>
      <c r="L66" s="47"/>
      <c r="M66" s="47"/>
      <c r="N66" s="46" t="str">
        <f>IF(ISBLANK(L66),"",L66*VLOOKUP($F66,Internal!$B$26:$C$32,2,FALSE))</f>
        <v/>
      </c>
      <c r="O66" s="46" t="str">
        <f>IF(ISBLANK(M66),"",M66*VLOOKUP($F66,Internal!$B$26:$C$32,2,FALSE))</f>
        <v/>
      </c>
      <c r="P66" s="40"/>
    </row>
    <row r="67" ht="14.25" spans="2:16">
      <c r="B67" s="38">
        <v>57</v>
      </c>
      <c r="C67" s="39" t="str">
        <f>IF(ISBLANK(D67),"",_xlfn.CONCAT("T",TEXT(B67,"0000"),"/",VLOOKUP(D67,Internal!$B$35:C$39,2,FALSE),IF(OR(D67="QA",D67="Revision"),_xlfn.CONCAT("/",H67),"")))</f>
        <v/>
      </c>
      <c r="D67" s="40"/>
      <c r="E67" s="41"/>
      <c r="F67" s="41"/>
      <c r="G67" s="40"/>
      <c r="H67" s="41"/>
      <c r="I67" s="45"/>
      <c r="J67" s="45"/>
      <c r="K67" s="46" t="str">
        <f ca="1" t="shared" si="0"/>
        <v/>
      </c>
      <c r="L67" s="47"/>
      <c r="M67" s="47"/>
      <c r="N67" s="46" t="str">
        <f>IF(ISBLANK(L67),"",L67*VLOOKUP($F67,Internal!$B$26:$C$32,2,FALSE))</f>
        <v/>
      </c>
      <c r="O67" s="46" t="str">
        <f>IF(ISBLANK(M67),"",M67*VLOOKUP($F67,Internal!$B$26:$C$32,2,FALSE))</f>
        <v/>
      </c>
      <c r="P67" s="40"/>
    </row>
    <row r="68" ht="14.25" spans="2:16">
      <c r="B68" s="38">
        <v>58</v>
      </c>
      <c r="C68" s="39" t="str">
        <f>IF(ISBLANK(D68),"",_xlfn.CONCAT("T",TEXT(B68,"0000"),"/",VLOOKUP(D68,Internal!$B$35:C$39,2,FALSE),IF(OR(D68="QA",D68="Revision"),_xlfn.CONCAT("/",H68),"")))</f>
        <v/>
      </c>
      <c r="D68" s="40"/>
      <c r="E68" s="41"/>
      <c r="F68" s="41"/>
      <c r="G68" s="40"/>
      <c r="H68" s="41"/>
      <c r="I68" s="45"/>
      <c r="J68" s="45"/>
      <c r="K68" s="46" t="str">
        <f ca="1" t="shared" si="0"/>
        <v/>
      </c>
      <c r="L68" s="47"/>
      <c r="M68" s="47"/>
      <c r="N68" s="46" t="str">
        <f>IF(ISBLANK(L68),"",L68*VLOOKUP($F68,Internal!$B$26:$C$32,2,FALSE))</f>
        <v/>
      </c>
      <c r="O68" s="46" t="str">
        <f>IF(ISBLANK(M68),"",M68*VLOOKUP($F68,Internal!$B$26:$C$32,2,FALSE))</f>
        <v/>
      </c>
      <c r="P68" s="40"/>
    </row>
    <row r="69" ht="14.25" spans="2:16">
      <c r="B69" s="38">
        <v>59</v>
      </c>
      <c r="C69" s="39" t="str">
        <f>IF(ISBLANK(D69),"",_xlfn.CONCAT("T",TEXT(B69,"0000"),"/",VLOOKUP(D69,Internal!$B$35:C$39,2,FALSE),IF(OR(D69="QA",D69="Revision"),_xlfn.CONCAT("/",H69),"")))</f>
        <v/>
      </c>
      <c r="D69" s="40"/>
      <c r="E69" s="41"/>
      <c r="F69" s="41"/>
      <c r="G69" s="40"/>
      <c r="H69" s="41"/>
      <c r="I69" s="45"/>
      <c r="J69" s="45"/>
      <c r="K69" s="46" t="str">
        <f ca="1" t="shared" si="0"/>
        <v/>
      </c>
      <c r="L69" s="47"/>
      <c r="M69" s="47"/>
      <c r="N69" s="46" t="str">
        <f>IF(ISBLANK(L69),"",L69*VLOOKUP($F69,Internal!$B$26:$C$32,2,FALSE))</f>
        <v/>
      </c>
      <c r="O69" s="46" t="str">
        <f>IF(ISBLANK(M69),"",M69*VLOOKUP($F69,Internal!$B$26:$C$32,2,FALSE))</f>
        <v/>
      </c>
      <c r="P69" s="40"/>
    </row>
    <row r="70" ht="14.25" spans="2:16">
      <c r="B70" s="38">
        <v>60</v>
      </c>
      <c r="C70" s="39" t="str">
        <f>IF(ISBLANK(D70),"",_xlfn.CONCAT("T",TEXT(B70,"0000"),"/",VLOOKUP(D70,Internal!$B$35:C$39,2,FALSE),IF(OR(D70="QA",D70="Revision"),_xlfn.CONCAT("/",H70),"")))</f>
        <v/>
      </c>
      <c r="D70" s="40"/>
      <c r="E70" s="41"/>
      <c r="F70" s="41"/>
      <c r="G70" s="40"/>
      <c r="H70" s="41"/>
      <c r="I70" s="45"/>
      <c r="J70" s="45"/>
      <c r="K70" s="46" t="str">
        <f ca="1" t="shared" si="0"/>
        <v/>
      </c>
      <c r="L70" s="47"/>
      <c r="M70" s="47"/>
      <c r="N70" s="46" t="str">
        <f>IF(ISBLANK(L70),"",L70*VLOOKUP($F70,Internal!$B$26:$C$32,2,FALSE))</f>
        <v/>
      </c>
      <c r="O70" s="46" t="str">
        <f>IF(ISBLANK(M70),"",M70*VLOOKUP($F70,Internal!$B$26:$C$32,2,FALSE))</f>
        <v/>
      </c>
      <c r="P70" s="40"/>
    </row>
    <row r="71" ht="14.25" spans="2:16">
      <c r="B71" s="38">
        <v>61</v>
      </c>
      <c r="C71" s="39" t="str">
        <f>IF(ISBLANK(D71),"",_xlfn.CONCAT("T",TEXT(B71,"0000"),"/",VLOOKUP(D71,Internal!$B$35:C$39,2,FALSE),IF(OR(D71="QA",D71="Revision"),_xlfn.CONCAT("/",H71),"")))</f>
        <v/>
      </c>
      <c r="D71" s="40"/>
      <c r="E71" s="41"/>
      <c r="F71" s="41"/>
      <c r="G71" s="40"/>
      <c r="H71" s="41"/>
      <c r="I71" s="45"/>
      <c r="J71" s="45"/>
      <c r="K71" s="46" t="str">
        <f ca="1" t="shared" si="0"/>
        <v/>
      </c>
      <c r="L71" s="47"/>
      <c r="M71" s="47"/>
      <c r="N71" s="46" t="str">
        <f>IF(ISBLANK(L71),"",L71*VLOOKUP($F71,Internal!$B$26:$C$32,2,FALSE))</f>
        <v/>
      </c>
      <c r="O71" s="46" t="str">
        <f>IF(ISBLANK(M71),"",M71*VLOOKUP($F71,Internal!$B$26:$C$32,2,FALSE))</f>
        <v/>
      </c>
      <c r="P71" s="40"/>
    </row>
    <row r="72" ht="14.25" spans="2:16">
      <c r="B72" s="38">
        <v>62</v>
      </c>
      <c r="C72" s="39" t="str">
        <f>IF(ISBLANK(D72),"",_xlfn.CONCAT("T",TEXT(B72,"0000"),"/",VLOOKUP(D72,Internal!$B$35:C$39,2,FALSE),IF(OR(D72="QA",D72="Revision"),_xlfn.CONCAT("/",H72),"")))</f>
        <v/>
      </c>
      <c r="D72" s="40"/>
      <c r="E72" s="41"/>
      <c r="F72" s="41"/>
      <c r="G72" s="40"/>
      <c r="H72" s="41"/>
      <c r="I72" s="45"/>
      <c r="J72" s="45"/>
      <c r="K72" s="46" t="str">
        <f ca="1" t="shared" si="0"/>
        <v/>
      </c>
      <c r="L72" s="47"/>
      <c r="M72" s="47"/>
      <c r="N72" s="46" t="str">
        <f>IF(ISBLANK(L72),"",L72*VLOOKUP($F72,Internal!$B$26:$C$32,2,FALSE))</f>
        <v/>
      </c>
      <c r="O72" s="46" t="str">
        <f>IF(ISBLANK(M72),"",M72*VLOOKUP($F72,Internal!$B$26:$C$32,2,FALSE))</f>
        <v/>
      </c>
      <c r="P72" s="40"/>
    </row>
    <row r="73" ht="14.25" spans="2:16">
      <c r="B73" s="38">
        <v>63</v>
      </c>
      <c r="C73" s="39" t="str">
        <f>IF(ISBLANK(D73),"",_xlfn.CONCAT("T",TEXT(B73,"0000"),"/",VLOOKUP(D73,Internal!$B$35:C$39,2,FALSE),IF(OR(D73="QA",D73="Revision"),_xlfn.CONCAT("/",H73),"")))</f>
        <v/>
      </c>
      <c r="D73" s="40"/>
      <c r="E73" s="41"/>
      <c r="F73" s="41"/>
      <c r="G73" s="40"/>
      <c r="H73" s="41"/>
      <c r="I73" s="45"/>
      <c r="J73" s="45"/>
      <c r="K73" s="46" t="str">
        <f ca="1" t="shared" si="0"/>
        <v/>
      </c>
      <c r="L73" s="47"/>
      <c r="M73" s="47"/>
      <c r="N73" s="46" t="str">
        <f>IF(ISBLANK(L73),"",L73*VLOOKUP($F73,Internal!$B$26:$C$32,2,FALSE))</f>
        <v/>
      </c>
      <c r="O73" s="46" t="str">
        <f>IF(ISBLANK(M73),"",M73*VLOOKUP($F73,Internal!$B$26:$C$32,2,FALSE))</f>
        <v/>
      </c>
      <c r="P73" s="40"/>
    </row>
    <row r="74" ht="14.25" spans="2:16">
      <c r="B74" s="38">
        <v>64</v>
      </c>
      <c r="C74" s="39" t="str">
        <f>IF(ISBLANK(D74),"",_xlfn.CONCAT("T",TEXT(B74,"0000"),"/",VLOOKUP(D74,Internal!$B$35:C$39,2,FALSE),IF(OR(D74="QA",D74="Revision"),_xlfn.CONCAT("/",H74),"")))</f>
        <v/>
      </c>
      <c r="D74" s="40"/>
      <c r="E74" s="41"/>
      <c r="F74" s="41"/>
      <c r="G74" s="40"/>
      <c r="H74" s="41"/>
      <c r="I74" s="45"/>
      <c r="J74" s="45"/>
      <c r="K74" s="46" t="str">
        <f ca="1" t="shared" si="0"/>
        <v/>
      </c>
      <c r="L74" s="47"/>
      <c r="M74" s="47"/>
      <c r="N74" s="46" t="str">
        <f>IF(ISBLANK(L74),"",L74*VLOOKUP($F74,Internal!$B$26:$C$32,2,FALSE))</f>
        <v/>
      </c>
      <c r="O74" s="46" t="str">
        <f>IF(ISBLANK(M74),"",M74*VLOOKUP($F74,Internal!$B$26:$C$32,2,FALSE))</f>
        <v/>
      </c>
      <c r="P74" s="40"/>
    </row>
    <row r="75" ht="14.25" spans="2:16">
      <c r="B75" s="38">
        <v>65</v>
      </c>
      <c r="C75" s="39" t="str">
        <f>IF(ISBLANK(D75),"",_xlfn.CONCAT("T",TEXT(B75,"0000"),"/",VLOOKUP(D75,Internal!$B$35:C$39,2,FALSE),IF(OR(D75="QA",D75="Revision"),_xlfn.CONCAT("/",H75),"")))</f>
        <v/>
      </c>
      <c r="D75" s="40"/>
      <c r="E75" s="41"/>
      <c r="F75" s="41"/>
      <c r="G75" s="40"/>
      <c r="H75" s="41"/>
      <c r="I75" s="45"/>
      <c r="J75" s="45"/>
      <c r="K75" s="46" t="str">
        <f ca="1" t="shared" si="0"/>
        <v/>
      </c>
      <c r="L75" s="47"/>
      <c r="M75" s="47"/>
      <c r="N75" s="46" t="str">
        <f>IF(ISBLANK(L75),"",L75*VLOOKUP($F75,Internal!$B$26:$C$32,2,FALSE))</f>
        <v/>
      </c>
      <c r="O75" s="46" t="str">
        <f>IF(ISBLANK(M75),"",M75*VLOOKUP($F75,Internal!$B$26:$C$32,2,FALSE))</f>
        <v/>
      </c>
      <c r="P75" s="40"/>
    </row>
    <row r="76" ht="14.25" spans="2:16">
      <c r="B76" s="38">
        <v>66</v>
      </c>
      <c r="C76" s="39" t="str">
        <f>IF(ISBLANK(D76),"",_xlfn.CONCAT("T",TEXT(B76,"0000"),"/",VLOOKUP(D76,Internal!$B$35:C$39,2,FALSE),IF(OR(D76="QA",D76="Revision"),_xlfn.CONCAT("/",H76),"")))</f>
        <v/>
      </c>
      <c r="D76" s="40"/>
      <c r="E76" s="41"/>
      <c r="F76" s="41"/>
      <c r="G76" s="40"/>
      <c r="H76" s="41"/>
      <c r="I76" s="45"/>
      <c r="J76" s="45"/>
      <c r="K76" s="46" t="str">
        <f ca="1" t="shared" ref="K76:K110" si="1">IF(OR(I76="",J76=""),"",IF(AND(J76&lt;&gt;"",I76&gt;=NOW()),"Planned",IF(AND(J76&lt;&gt;"",J76&lt;NOW()),"Completed","Ongoing")))</f>
        <v/>
      </c>
      <c r="L76" s="47"/>
      <c r="M76" s="47"/>
      <c r="N76" s="46" t="str">
        <f>IF(ISBLANK(L76),"",L76*VLOOKUP($F76,Internal!$B$26:$C$32,2,FALSE))</f>
        <v/>
      </c>
      <c r="O76" s="46" t="str">
        <f>IF(ISBLANK(M76),"",M76*VLOOKUP($F76,Internal!$B$26:$C$32,2,FALSE))</f>
        <v/>
      </c>
      <c r="P76" s="40"/>
    </row>
    <row r="77" ht="14.25" spans="2:16">
      <c r="B77" s="38">
        <v>67</v>
      </c>
      <c r="C77" s="39" t="str">
        <f>IF(ISBLANK(D77),"",_xlfn.CONCAT("T",TEXT(B77,"0000"),"/",VLOOKUP(D77,Internal!$B$35:C$39,2,FALSE),IF(OR(D77="QA",D77="Revision"),_xlfn.CONCAT("/",H77),"")))</f>
        <v/>
      </c>
      <c r="D77" s="40"/>
      <c r="E77" s="41"/>
      <c r="F77" s="41"/>
      <c r="G77" s="40"/>
      <c r="H77" s="41"/>
      <c r="I77" s="45"/>
      <c r="J77" s="45"/>
      <c r="K77" s="46" t="str">
        <f ca="1" t="shared" si="1"/>
        <v/>
      </c>
      <c r="L77" s="47"/>
      <c r="M77" s="47"/>
      <c r="N77" s="46" t="str">
        <f>IF(ISBLANK(L77),"",L77*VLOOKUP($F77,Internal!$B$26:$C$32,2,FALSE))</f>
        <v/>
      </c>
      <c r="O77" s="46" t="str">
        <f>IF(ISBLANK(M77),"",M77*VLOOKUP($F77,Internal!$B$26:$C$32,2,FALSE))</f>
        <v/>
      </c>
      <c r="P77" s="40"/>
    </row>
    <row r="78" ht="14.25" spans="2:16">
      <c r="B78" s="38">
        <v>68</v>
      </c>
      <c r="C78" s="39" t="str">
        <f>IF(ISBLANK(D78),"",_xlfn.CONCAT("T",TEXT(B78,"0000"),"/",VLOOKUP(D78,Internal!$B$35:C$39,2,FALSE),IF(OR(D78="QA",D78="Revision"),_xlfn.CONCAT("/",H78),"")))</f>
        <v/>
      </c>
      <c r="D78" s="40"/>
      <c r="E78" s="41"/>
      <c r="F78" s="41"/>
      <c r="G78" s="40"/>
      <c r="H78" s="41"/>
      <c r="I78" s="45"/>
      <c r="J78" s="45"/>
      <c r="K78" s="46" t="str">
        <f ca="1" t="shared" si="1"/>
        <v/>
      </c>
      <c r="L78" s="47"/>
      <c r="M78" s="47"/>
      <c r="N78" s="46" t="str">
        <f>IF(ISBLANK(L78),"",L78*VLOOKUP($F78,Internal!$B$26:$C$32,2,FALSE))</f>
        <v/>
      </c>
      <c r="O78" s="46" t="str">
        <f>IF(ISBLANK(M78),"",M78*VLOOKUP($F78,Internal!$B$26:$C$32,2,FALSE))</f>
        <v/>
      </c>
      <c r="P78" s="40"/>
    </row>
    <row r="79" ht="14.25" spans="2:16">
      <c r="B79" s="38">
        <v>69</v>
      </c>
      <c r="C79" s="39" t="str">
        <f>IF(ISBLANK(D79),"",_xlfn.CONCAT("T",TEXT(B79,"0000"),"/",VLOOKUP(D79,Internal!$B$35:C$39,2,FALSE),IF(OR(D79="QA",D79="Revision"),_xlfn.CONCAT("/",H79),"")))</f>
        <v/>
      </c>
      <c r="D79" s="40"/>
      <c r="E79" s="41"/>
      <c r="F79" s="41"/>
      <c r="G79" s="40"/>
      <c r="H79" s="41"/>
      <c r="I79" s="45"/>
      <c r="J79" s="45"/>
      <c r="K79" s="46" t="str">
        <f ca="1" t="shared" si="1"/>
        <v/>
      </c>
      <c r="L79" s="47"/>
      <c r="M79" s="47"/>
      <c r="N79" s="46" t="str">
        <f>IF(ISBLANK(L79),"",L79*VLOOKUP($F79,Internal!$B$26:$C$32,2,FALSE))</f>
        <v/>
      </c>
      <c r="O79" s="46" t="str">
        <f>IF(ISBLANK(M79),"",M79*VLOOKUP($F79,Internal!$B$26:$C$32,2,FALSE))</f>
        <v/>
      </c>
      <c r="P79" s="40"/>
    </row>
    <row r="80" ht="14.25" spans="2:16">
      <c r="B80" s="38">
        <v>70</v>
      </c>
      <c r="C80" s="39" t="str">
        <f>IF(ISBLANK(D80),"",_xlfn.CONCAT("T",TEXT(B80,"0000"),"/",VLOOKUP(D80,Internal!$B$35:C$39,2,FALSE),IF(OR(D80="QA",D80="Revision"),_xlfn.CONCAT("/",H80),"")))</f>
        <v/>
      </c>
      <c r="D80" s="40"/>
      <c r="E80" s="41"/>
      <c r="F80" s="41"/>
      <c r="G80" s="40"/>
      <c r="H80" s="41"/>
      <c r="I80" s="45"/>
      <c r="J80" s="45"/>
      <c r="K80" s="46" t="str">
        <f ca="1" t="shared" si="1"/>
        <v/>
      </c>
      <c r="L80" s="47"/>
      <c r="M80" s="47"/>
      <c r="N80" s="46" t="str">
        <f>IF(ISBLANK(L80),"",L80*VLOOKUP($F80,Internal!$B$26:$C$32,2,FALSE))</f>
        <v/>
      </c>
      <c r="O80" s="46" t="str">
        <f>IF(ISBLANK(M80),"",M80*VLOOKUP($F80,Internal!$B$26:$C$32,2,FALSE))</f>
        <v/>
      </c>
      <c r="P80" s="40"/>
    </row>
    <row r="81" ht="14.25" spans="2:16">
      <c r="B81" s="38">
        <v>71</v>
      </c>
      <c r="C81" s="39" t="str">
        <f>IF(ISBLANK(D81),"",_xlfn.CONCAT("T",TEXT(B81,"0000"),"/",VLOOKUP(D81,Internal!$B$35:C$39,2,FALSE),IF(OR(D81="QA",D81="Revision"),_xlfn.CONCAT("/",H81),"")))</f>
        <v/>
      </c>
      <c r="D81" s="40"/>
      <c r="E81" s="41"/>
      <c r="F81" s="41"/>
      <c r="G81" s="40"/>
      <c r="H81" s="41"/>
      <c r="I81" s="45"/>
      <c r="J81" s="45"/>
      <c r="K81" s="46" t="str">
        <f ca="1" t="shared" si="1"/>
        <v/>
      </c>
      <c r="L81" s="47"/>
      <c r="M81" s="47"/>
      <c r="N81" s="46" t="str">
        <f>IF(ISBLANK(L81),"",L81*VLOOKUP($F81,Internal!$B$26:$C$32,2,FALSE))</f>
        <v/>
      </c>
      <c r="O81" s="46" t="str">
        <f>IF(ISBLANK(M81),"",M81*VLOOKUP($F81,Internal!$B$26:$C$32,2,FALSE))</f>
        <v/>
      </c>
      <c r="P81" s="40"/>
    </row>
    <row r="82" ht="14.25" spans="2:16">
      <c r="B82" s="38">
        <v>72</v>
      </c>
      <c r="C82" s="39" t="str">
        <f>IF(ISBLANK(D82),"",_xlfn.CONCAT("T",TEXT(B82,"0000"),"/",VLOOKUP(D82,Internal!$B$35:C$39,2,FALSE),IF(OR(D82="QA",D82="Revision"),_xlfn.CONCAT("/",H82),"")))</f>
        <v/>
      </c>
      <c r="D82" s="40"/>
      <c r="E82" s="41"/>
      <c r="F82" s="41"/>
      <c r="G82" s="40"/>
      <c r="H82" s="41"/>
      <c r="I82" s="45"/>
      <c r="J82" s="45"/>
      <c r="K82" s="46" t="str">
        <f ca="1" t="shared" si="1"/>
        <v/>
      </c>
      <c r="L82" s="47"/>
      <c r="M82" s="47"/>
      <c r="N82" s="46" t="str">
        <f>IF(ISBLANK(L82),"",L82*VLOOKUP($F82,Internal!$B$26:$C$32,2,FALSE))</f>
        <v/>
      </c>
      <c r="O82" s="46" t="str">
        <f>IF(ISBLANK(M82),"",M82*VLOOKUP($F82,Internal!$B$26:$C$32,2,FALSE))</f>
        <v/>
      </c>
      <c r="P82" s="40"/>
    </row>
    <row r="83" ht="14.25" spans="2:16">
      <c r="B83" s="38">
        <v>73</v>
      </c>
      <c r="C83" s="39" t="str">
        <f>IF(ISBLANK(D83),"",_xlfn.CONCAT("T",TEXT(B83,"0000"),"/",VLOOKUP(D83,Internal!$B$35:C$39,2,FALSE),IF(OR(D83="QA",D83="Revision"),_xlfn.CONCAT("/",H83),"")))</f>
        <v/>
      </c>
      <c r="D83" s="40"/>
      <c r="E83" s="41"/>
      <c r="F83" s="41"/>
      <c r="G83" s="40"/>
      <c r="H83" s="41"/>
      <c r="I83" s="45"/>
      <c r="J83" s="45"/>
      <c r="K83" s="46" t="str">
        <f ca="1" t="shared" si="1"/>
        <v/>
      </c>
      <c r="L83" s="47"/>
      <c r="M83" s="47"/>
      <c r="N83" s="46" t="str">
        <f>IF(ISBLANK(L83),"",L83*VLOOKUP($F83,Internal!$B$26:$C$32,2,FALSE))</f>
        <v/>
      </c>
      <c r="O83" s="46" t="str">
        <f>IF(ISBLANK(M83),"",M83*VLOOKUP($F83,Internal!$B$26:$C$32,2,FALSE))</f>
        <v/>
      </c>
      <c r="P83" s="40"/>
    </row>
    <row r="84" ht="14.25" spans="2:16">
      <c r="B84" s="38">
        <v>74</v>
      </c>
      <c r="C84" s="39" t="str">
        <f>IF(ISBLANK(D84),"",_xlfn.CONCAT("T",TEXT(B84,"0000"),"/",VLOOKUP(D84,Internal!$B$35:C$39,2,FALSE),IF(OR(D84="QA",D84="Revision"),_xlfn.CONCAT("/",H84),"")))</f>
        <v/>
      </c>
      <c r="D84" s="40"/>
      <c r="E84" s="41"/>
      <c r="F84" s="41"/>
      <c r="G84" s="40"/>
      <c r="H84" s="41"/>
      <c r="I84" s="45"/>
      <c r="J84" s="45"/>
      <c r="K84" s="46" t="str">
        <f ca="1" t="shared" si="1"/>
        <v/>
      </c>
      <c r="L84" s="47"/>
      <c r="M84" s="47"/>
      <c r="N84" s="46" t="str">
        <f>IF(ISBLANK(L84),"",L84*VLOOKUP($F84,Internal!$B$26:$C$32,2,FALSE))</f>
        <v/>
      </c>
      <c r="O84" s="46" t="str">
        <f>IF(ISBLANK(M84),"",M84*VLOOKUP($F84,Internal!$B$26:$C$32,2,FALSE))</f>
        <v/>
      </c>
      <c r="P84" s="40"/>
    </row>
    <row r="85" ht="14.25" spans="2:16">
      <c r="B85" s="38">
        <v>75</v>
      </c>
      <c r="C85" s="39" t="str">
        <f>IF(ISBLANK(D85),"",_xlfn.CONCAT("T",TEXT(B85,"0000"),"/",VLOOKUP(D85,Internal!$B$35:C$39,2,FALSE),IF(OR(D85="QA",D85="Revision"),_xlfn.CONCAT("/",H85),"")))</f>
        <v/>
      </c>
      <c r="D85" s="40"/>
      <c r="E85" s="41"/>
      <c r="F85" s="41"/>
      <c r="G85" s="40"/>
      <c r="H85" s="41"/>
      <c r="I85" s="45"/>
      <c r="J85" s="45"/>
      <c r="K85" s="46" t="str">
        <f ca="1" t="shared" si="1"/>
        <v/>
      </c>
      <c r="L85" s="47"/>
      <c r="M85" s="47"/>
      <c r="N85" s="46" t="str">
        <f>IF(ISBLANK(L85),"",L85*VLOOKUP($F85,Internal!$B$26:$C$32,2,FALSE))</f>
        <v/>
      </c>
      <c r="O85" s="46" t="str">
        <f>IF(ISBLANK(M85),"",M85*VLOOKUP($F85,Internal!$B$26:$C$32,2,FALSE))</f>
        <v/>
      </c>
      <c r="P85" s="40"/>
    </row>
    <row r="86" ht="14.25" spans="2:16">
      <c r="B86" s="38">
        <v>76</v>
      </c>
      <c r="C86" s="39" t="str">
        <f>IF(ISBLANK(D86),"",_xlfn.CONCAT("T",TEXT(B86,"0000"),"/",VLOOKUP(D86,Internal!$B$35:C$39,2,FALSE),IF(OR(D86="QA",D86="Revision"),_xlfn.CONCAT("/",H86),"")))</f>
        <v/>
      </c>
      <c r="D86" s="40"/>
      <c r="E86" s="41"/>
      <c r="F86" s="41"/>
      <c r="G86" s="40"/>
      <c r="H86" s="41"/>
      <c r="I86" s="45"/>
      <c r="J86" s="45"/>
      <c r="K86" s="46" t="str">
        <f ca="1" t="shared" si="1"/>
        <v/>
      </c>
      <c r="L86" s="47"/>
      <c r="M86" s="47"/>
      <c r="N86" s="46" t="str">
        <f>IF(ISBLANK(L86),"",L86*VLOOKUP($F86,Internal!$B$26:$C$32,2,FALSE))</f>
        <v/>
      </c>
      <c r="O86" s="46" t="str">
        <f>IF(ISBLANK(M86),"",M86*VLOOKUP($F86,Internal!$B$26:$C$32,2,FALSE))</f>
        <v/>
      </c>
      <c r="P86" s="40"/>
    </row>
    <row r="87" ht="14.25" spans="2:16">
      <c r="B87" s="38">
        <v>77</v>
      </c>
      <c r="C87" s="39" t="str">
        <f>IF(ISBLANK(D87),"",_xlfn.CONCAT("T",TEXT(B87,"0000"),"/",VLOOKUP(D87,Internal!$B$35:C$39,2,FALSE),IF(OR(D87="QA",D87="Revision"),_xlfn.CONCAT("/",H87),"")))</f>
        <v/>
      </c>
      <c r="D87" s="40"/>
      <c r="E87" s="41"/>
      <c r="F87" s="41"/>
      <c r="G87" s="40"/>
      <c r="H87" s="41"/>
      <c r="I87" s="45"/>
      <c r="J87" s="45"/>
      <c r="K87" s="46" t="str">
        <f ca="1" t="shared" si="1"/>
        <v/>
      </c>
      <c r="L87" s="47"/>
      <c r="M87" s="47"/>
      <c r="N87" s="46" t="str">
        <f>IF(ISBLANK(L87),"",L87*VLOOKUP($F87,Internal!$B$26:$C$32,2,FALSE))</f>
        <v/>
      </c>
      <c r="O87" s="46" t="str">
        <f>IF(ISBLANK(M87),"",M87*VLOOKUP($F87,Internal!$B$26:$C$32,2,FALSE))</f>
        <v/>
      </c>
      <c r="P87" s="40"/>
    </row>
    <row r="88" ht="14.25" spans="2:16">
      <c r="B88" s="38">
        <v>78</v>
      </c>
      <c r="C88" s="39" t="str">
        <f>IF(ISBLANK(D88),"",_xlfn.CONCAT("T",TEXT(B88,"0000"),"/",VLOOKUP(D88,Internal!$B$35:C$39,2,FALSE),IF(OR(D88="QA",D88="Revision"),_xlfn.CONCAT("/",H88),"")))</f>
        <v/>
      </c>
      <c r="D88" s="40"/>
      <c r="E88" s="41"/>
      <c r="F88" s="41"/>
      <c r="G88" s="40"/>
      <c r="H88" s="41"/>
      <c r="I88" s="45"/>
      <c r="J88" s="45"/>
      <c r="K88" s="46" t="str">
        <f ca="1" t="shared" si="1"/>
        <v/>
      </c>
      <c r="L88" s="47"/>
      <c r="M88" s="47"/>
      <c r="N88" s="46" t="str">
        <f>IF(ISBLANK(L88),"",L88*VLOOKUP($F88,Internal!$B$26:$C$32,2,FALSE))</f>
        <v/>
      </c>
      <c r="O88" s="46" t="str">
        <f>IF(ISBLANK(M88),"",M88*VLOOKUP($F88,Internal!$B$26:$C$32,2,FALSE))</f>
        <v/>
      </c>
      <c r="P88" s="40"/>
    </row>
    <row r="89" ht="14.25" spans="2:16">
      <c r="B89" s="38">
        <v>79</v>
      </c>
      <c r="C89" s="39" t="str">
        <f>IF(ISBLANK(D89),"",_xlfn.CONCAT("T",TEXT(B89,"0000"),"/",VLOOKUP(D89,Internal!$B$35:C$39,2,FALSE),IF(OR(D89="QA",D89="Revision"),_xlfn.CONCAT("/",H89),"")))</f>
        <v/>
      </c>
      <c r="D89" s="40"/>
      <c r="E89" s="41"/>
      <c r="F89" s="41"/>
      <c r="G89" s="40"/>
      <c r="H89" s="41"/>
      <c r="I89" s="45"/>
      <c r="J89" s="45"/>
      <c r="K89" s="46" t="str">
        <f ca="1" t="shared" si="1"/>
        <v/>
      </c>
      <c r="L89" s="47"/>
      <c r="M89" s="47"/>
      <c r="N89" s="46" t="str">
        <f>IF(ISBLANK(L89),"",L89*VLOOKUP($F89,Internal!$B$26:$C$32,2,FALSE))</f>
        <v/>
      </c>
      <c r="O89" s="46" t="str">
        <f>IF(ISBLANK(M89),"",M89*VLOOKUP($F89,Internal!$B$26:$C$32,2,FALSE))</f>
        <v/>
      </c>
      <c r="P89" s="40"/>
    </row>
    <row r="90" ht="14.25" spans="2:16">
      <c r="B90" s="38">
        <v>80</v>
      </c>
      <c r="C90" s="39" t="str">
        <f>IF(ISBLANK(D90),"",_xlfn.CONCAT("T",TEXT(B90,"0000"),"/",VLOOKUP(D90,Internal!$B$35:C$39,2,FALSE),IF(OR(D90="QA",D90="Revision"),_xlfn.CONCAT("/",H90),"")))</f>
        <v/>
      </c>
      <c r="D90" s="40"/>
      <c r="E90" s="41"/>
      <c r="F90" s="41"/>
      <c r="G90" s="40"/>
      <c r="H90" s="41"/>
      <c r="I90" s="45"/>
      <c r="J90" s="45"/>
      <c r="K90" s="46" t="str">
        <f ca="1" t="shared" si="1"/>
        <v/>
      </c>
      <c r="L90" s="47"/>
      <c r="M90" s="47"/>
      <c r="N90" s="46" t="str">
        <f>IF(ISBLANK(L90),"",L90*VLOOKUP($F90,Internal!$B$26:$C$32,2,FALSE))</f>
        <v/>
      </c>
      <c r="O90" s="46" t="str">
        <f>IF(ISBLANK(M90),"",M90*VLOOKUP($F90,Internal!$B$26:$C$32,2,FALSE))</f>
        <v/>
      </c>
      <c r="P90" s="40"/>
    </row>
    <row r="91" ht="14.25" spans="2:16">
      <c r="B91" s="38">
        <v>81</v>
      </c>
      <c r="C91" s="39" t="str">
        <f>IF(ISBLANK(D91),"",_xlfn.CONCAT("T",TEXT(B91,"0000"),"/",VLOOKUP(D91,Internal!$B$35:C$39,2,FALSE),IF(OR(D91="QA",D91="Revision"),_xlfn.CONCAT("/",H91),"")))</f>
        <v/>
      </c>
      <c r="D91" s="40"/>
      <c r="E91" s="41"/>
      <c r="F91" s="41"/>
      <c r="G91" s="40"/>
      <c r="H91" s="41"/>
      <c r="I91" s="45"/>
      <c r="J91" s="45"/>
      <c r="K91" s="46" t="str">
        <f ca="1" t="shared" si="1"/>
        <v/>
      </c>
      <c r="L91" s="47"/>
      <c r="M91" s="47"/>
      <c r="N91" s="46" t="str">
        <f>IF(ISBLANK(L91),"",L91*VLOOKUP($F91,Internal!$B$26:$C$32,2,FALSE))</f>
        <v/>
      </c>
      <c r="O91" s="46" t="str">
        <f>IF(ISBLANK(M91),"",M91*VLOOKUP($F91,Internal!$B$26:$C$32,2,FALSE))</f>
        <v/>
      </c>
      <c r="P91" s="40"/>
    </row>
    <row r="92" ht="14.25" spans="2:16">
      <c r="B92" s="38">
        <v>82</v>
      </c>
      <c r="C92" s="39" t="str">
        <f>IF(ISBLANK(D92),"",_xlfn.CONCAT("T",TEXT(B92,"0000"),"/",VLOOKUP(D92,Internal!$B$35:C$39,2,FALSE),IF(OR(D92="QA",D92="Revision"),_xlfn.CONCAT("/",H92),"")))</f>
        <v/>
      </c>
      <c r="D92" s="40"/>
      <c r="E92" s="41"/>
      <c r="F92" s="41"/>
      <c r="G92" s="40"/>
      <c r="H92" s="41"/>
      <c r="I92" s="45"/>
      <c r="J92" s="45"/>
      <c r="K92" s="46" t="str">
        <f ca="1" t="shared" si="1"/>
        <v/>
      </c>
      <c r="L92" s="47"/>
      <c r="M92" s="47"/>
      <c r="N92" s="46" t="str">
        <f>IF(ISBLANK(L92),"",L92*VLOOKUP($F92,Internal!$B$26:$C$32,2,FALSE))</f>
        <v/>
      </c>
      <c r="O92" s="46" t="str">
        <f>IF(ISBLANK(M92),"",M92*VLOOKUP($F92,Internal!$B$26:$C$32,2,FALSE))</f>
        <v/>
      </c>
      <c r="P92" s="40"/>
    </row>
    <row r="93" ht="14.25" spans="2:16">
      <c r="B93" s="38">
        <v>83</v>
      </c>
      <c r="C93" s="39" t="str">
        <f>IF(ISBLANK(D93),"",_xlfn.CONCAT("T",TEXT(B93,"0000"),"/",VLOOKUP(D93,Internal!$B$35:C$39,2,FALSE),IF(OR(D93="QA",D93="Revision"),_xlfn.CONCAT("/",H93),"")))</f>
        <v/>
      </c>
      <c r="D93" s="40"/>
      <c r="E93" s="41"/>
      <c r="F93" s="41"/>
      <c r="G93" s="40"/>
      <c r="H93" s="41"/>
      <c r="I93" s="45"/>
      <c r="J93" s="45"/>
      <c r="K93" s="46" t="str">
        <f ca="1" t="shared" si="1"/>
        <v/>
      </c>
      <c r="L93" s="47"/>
      <c r="M93" s="47"/>
      <c r="N93" s="46" t="str">
        <f>IF(ISBLANK(L93),"",L93*VLOOKUP($F93,Internal!$B$26:$C$32,2,FALSE))</f>
        <v/>
      </c>
      <c r="O93" s="46" t="str">
        <f>IF(ISBLANK(M93),"",M93*VLOOKUP($F93,Internal!$B$26:$C$32,2,FALSE))</f>
        <v/>
      </c>
      <c r="P93" s="40"/>
    </row>
    <row r="94" ht="14.25" spans="2:16">
      <c r="B94" s="38">
        <v>84</v>
      </c>
      <c r="C94" s="39" t="str">
        <f>IF(ISBLANK(D94),"",_xlfn.CONCAT("T",TEXT(B94,"0000"),"/",VLOOKUP(D94,Internal!$B$35:C$39,2,FALSE),IF(OR(D94="QA",D94="Revision"),_xlfn.CONCAT("/",H94),"")))</f>
        <v/>
      </c>
      <c r="D94" s="40"/>
      <c r="E94" s="41"/>
      <c r="F94" s="41"/>
      <c r="G94" s="40"/>
      <c r="H94" s="41"/>
      <c r="I94" s="45"/>
      <c r="J94" s="45"/>
      <c r="K94" s="46" t="str">
        <f ca="1" t="shared" si="1"/>
        <v/>
      </c>
      <c r="L94" s="47"/>
      <c r="M94" s="47"/>
      <c r="N94" s="46" t="str">
        <f>IF(ISBLANK(L94),"",L94*VLOOKUP($F94,Internal!$B$26:$C$32,2,FALSE))</f>
        <v/>
      </c>
      <c r="O94" s="46" t="str">
        <f>IF(ISBLANK(M94),"",M94*VLOOKUP($F94,Internal!$B$26:$C$32,2,FALSE))</f>
        <v/>
      </c>
      <c r="P94" s="40"/>
    </row>
    <row r="95" ht="14.25" spans="2:16">
      <c r="B95" s="38">
        <v>85</v>
      </c>
      <c r="C95" s="39" t="str">
        <f>IF(ISBLANK(D95),"",_xlfn.CONCAT("T",TEXT(B95,"0000"),"/",VLOOKUP(D95,Internal!$B$35:C$39,2,FALSE),IF(OR(D95="QA",D95="Revision"),_xlfn.CONCAT("/",H95),"")))</f>
        <v/>
      </c>
      <c r="D95" s="40"/>
      <c r="E95" s="41"/>
      <c r="F95" s="41"/>
      <c r="G95" s="40"/>
      <c r="H95" s="41"/>
      <c r="I95" s="45"/>
      <c r="J95" s="45"/>
      <c r="K95" s="46" t="str">
        <f ca="1" t="shared" si="1"/>
        <v/>
      </c>
      <c r="L95" s="47"/>
      <c r="M95" s="47"/>
      <c r="N95" s="46" t="str">
        <f>IF(ISBLANK(L95),"",L95*VLOOKUP($F95,Internal!$B$26:$C$32,2,FALSE))</f>
        <v/>
      </c>
      <c r="O95" s="46" t="str">
        <f>IF(ISBLANK(M95),"",M95*VLOOKUP($F95,Internal!$B$26:$C$32,2,FALSE))</f>
        <v/>
      </c>
      <c r="P95" s="40"/>
    </row>
    <row r="96" ht="14.25" spans="2:16">
      <c r="B96" s="38">
        <v>86</v>
      </c>
      <c r="C96" s="39" t="str">
        <f>IF(ISBLANK(D96),"",_xlfn.CONCAT("T",TEXT(B96,"0000"),"/",VLOOKUP(D96,Internal!$B$35:C$39,2,FALSE),IF(OR(D96="QA",D96="Revision"),_xlfn.CONCAT("/",H96),"")))</f>
        <v/>
      </c>
      <c r="D96" s="40"/>
      <c r="E96" s="41"/>
      <c r="F96" s="41"/>
      <c r="G96" s="40"/>
      <c r="H96" s="41"/>
      <c r="I96" s="45"/>
      <c r="J96" s="45"/>
      <c r="K96" s="46" t="str">
        <f ca="1" t="shared" si="1"/>
        <v/>
      </c>
      <c r="L96" s="47"/>
      <c r="M96" s="47"/>
      <c r="N96" s="46" t="str">
        <f>IF(ISBLANK(L96),"",L96*VLOOKUP($F96,Internal!$B$26:$C$32,2,FALSE))</f>
        <v/>
      </c>
      <c r="O96" s="46" t="str">
        <f>IF(ISBLANK(M96),"",M96*VLOOKUP($F96,Internal!$B$26:$C$32,2,FALSE))</f>
        <v/>
      </c>
      <c r="P96" s="40"/>
    </row>
    <row r="97" ht="14.25" spans="2:16">
      <c r="B97" s="38">
        <v>87</v>
      </c>
      <c r="C97" s="39" t="str">
        <f>IF(ISBLANK(D97),"",_xlfn.CONCAT("T",TEXT(B97,"0000"),"/",VLOOKUP(D97,Internal!$B$35:C$39,2,FALSE),IF(OR(D97="QA",D97="Revision"),_xlfn.CONCAT("/",H97),"")))</f>
        <v/>
      </c>
      <c r="D97" s="40"/>
      <c r="E97" s="41"/>
      <c r="F97" s="41"/>
      <c r="G97" s="40"/>
      <c r="H97" s="41"/>
      <c r="I97" s="45"/>
      <c r="J97" s="45"/>
      <c r="K97" s="46" t="str">
        <f ca="1" t="shared" si="1"/>
        <v/>
      </c>
      <c r="L97" s="47"/>
      <c r="M97" s="47"/>
      <c r="N97" s="46" t="str">
        <f>IF(ISBLANK(L97),"",L97*VLOOKUP($F97,Internal!$B$26:$C$32,2,FALSE))</f>
        <v/>
      </c>
      <c r="O97" s="46" t="str">
        <f>IF(ISBLANK(M97),"",M97*VLOOKUP($F97,Internal!$B$26:$C$32,2,FALSE))</f>
        <v/>
      </c>
      <c r="P97" s="40"/>
    </row>
    <row r="98" ht="14.25" spans="2:16">
      <c r="B98" s="38">
        <v>88</v>
      </c>
      <c r="C98" s="39" t="str">
        <f>IF(ISBLANK(D98),"",_xlfn.CONCAT("T",TEXT(B98,"0000"),"/",VLOOKUP(D98,Internal!$B$35:C$39,2,FALSE),IF(OR(D98="QA",D98="Revision"),_xlfn.CONCAT("/",H98),"")))</f>
        <v/>
      </c>
      <c r="D98" s="40"/>
      <c r="E98" s="41"/>
      <c r="F98" s="41"/>
      <c r="G98" s="40"/>
      <c r="H98" s="41"/>
      <c r="I98" s="45"/>
      <c r="J98" s="45"/>
      <c r="K98" s="46" t="str">
        <f ca="1" t="shared" si="1"/>
        <v/>
      </c>
      <c r="L98" s="47"/>
      <c r="M98" s="47"/>
      <c r="N98" s="46" t="str">
        <f>IF(ISBLANK(L98),"",L98*VLOOKUP($F98,Internal!$B$26:$C$32,2,FALSE))</f>
        <v/>
      </c>
      <c r="O98" s="46" t="str">
        <f>IF(ISBLANK(M98),"",M98*VLOOKUP($F98,Internal!$B$26:$C$32,2,FALSE))</f>
        <v/>
      </c>
      <c r="P98" s="40"/>
    </row>
    <row r="99" ht="14.25" spans="2:16">
      <c r="B99" s="38">
        <v>89</v>
      </c>
      <c r="C99" s="39" t="str">
        <f>IF(ISBLANK(D99),"",_xlfn.CONCAT("T",TEXT(B99,"0000"),"/",VLOOKUP(D99,Internal!$B$35:C$39,2,FALSE),IF(OR(D99="QA",D99="Revision"),_xlfn.CONCAT("/",H99),"")))</f>
        <v/>
      </c>
      <c r="D99" s="40"/>
      <c r="E99" s="41"/>
      <c r="F99" s="41"/>
      <c r="G99" s="40"/>
      <c r="H99" s="41"/>
      <c r="I99" s="45"/>
      <c r="J99" s="45"/>
      <c r="K99" s="46" t="str">
        <f ca="1" t="shared" si="1"/>
        <v/>
      </c>
      <c r="L99" s="47"/>
      <c r="M99" s="47"/>
      <c r="N99" s="46" t="str">
        <f>IF(ISBLANK(L99),"",L99*VLOOKUP($F99,Internal!$B$26:$C$32,2,FALSE))</f>
        <v/>
      </c>
      <c r="O99" s="46" t="str">
        <f>IF(ISBLANK(M99),"",M99*VLOOKUP($F99,Internal!$B$26:$C$32,2,FALSE))</f>
        <v/>
      </c>
      <c r="P99" s="40"/>
    </row>
    <row r="100" ht="14.25" spans="2:16">
      <c r="B100" s="38">
        <v>90</v>
      </c>
      <c r="C100" s="39" t="str">
        <f>IF(ISBLANK(D100),"",_xlfn.CONCAT("T",TEXT(B100,"0000"),"/",VLOOKUP(D100,Internal!$B$35:C$39,2,FALSE),IF(OR(D100="QA",D100="Revision"),_xlfn.CONCAT("/",H100),"")))</f>
        <v/>
      </c>
      <c r="D100" s="40"/>
      <c r="E100" s="41"/>
      <c r="F100" s="41"/>
      <c r="G100" s="40"/>
      <c r="H100" s="41"/>
      <c r="I100" s="45"/>
      <c r="J100" s="45"/>
      <c r="K100" s="46" t="str">
        <f ca="1" t="shared" si="1"/>
        <v/>
      </c>
      <c r="L100" s="47"/>
      <c r="M100" s="47"/>
      <c r="N100" s="46" t="str">
        <f>IF(ISBLANK(L100),"",L100*VLOOKUP($F100,Internal!$B$26:$C$32,2,FALSE))</f>
        <v/>
      </c>
      <c r="O100" s="46" t="str">
        <f>IF(ISBLANK(M100),"",M100*VLOOKUP($F100,Internal!$B$26:$C$32,2,FALSE))</f>
        <v/>
      </c>
      <c r="P100" s="40"/>
    </row>
    <row r="101" ht="14.25" spans="2:16">
      <c r="B101" s="38">
        <v>91</v>
      </c>
      <c r="C101" s="39" t="str">
        <f>IF(ISBLANK(D101),"",_xlfn.CONCAT("T",TEXT(B101,"0000"),"/",VLOOKUP(D101,Internal!$B$35:C$39,2,FALSE),IF(OR(D101="QA",D101="Revision"),_xlfn.CONCAT("/",H101),"")))</f>
        <v/>
      </c>
      <c r="D101" s="40"/>
      <c r="E101" s="41"/>
      <c r="F101" s="41"/>
      <c r="G101" s="40"/>
      <c r="H101" s="41"/>
      <c r="I101" s="45"/>
      <c r="J101" s="45"/>
      <c r="K101" s="46" t="str">
        <f ca="1" t="shared" si="1"/>
        <v/>
      </c>
      <c r="L101" s="47"/>
      <c r="M101" s="47"/>
      <c r="N101" s="46" t="str">
        <f>IF(ISBLANK(L101),"",L101*VLOOKUP($F101,Internal!$B$26:$C$32,2,FALSE))</f>
        <v/>
      </c>
      <c r="O101" s="46" t="str">
        <f>IF(ISBLANK(M101),"",M101*VLOOKUP($F101,Internal!$B$26:$C$32,2,FALSE))</f>
        <v/>
      </c>
      <c r="P101" s="40"/>
    </row>
    <row r="102" ht="14.25" spans="2:16">
      <c r="B102" s="38">
        <v>92</v>
      </c>
      <c r="C102" s="39" t="str">
        <f>IF(ISBLANK(D102),"",_xlfn.CONCAT("T",TEXT(B102,"0000"),"/",VLOOKUP(D102,Internal!$B$35:C$39,2,FALSE),IF(OR(D102="QA",D102="Revision"),_xlfn.CONCAT("/",H102),"")))</f>
        <v/>
      </c>
      <c r="D102" s="40"/>
      <c r="E102" s="41"/>
      <c r="F102" s="41"/>
      <c r="G102" s="40"/>
      <c r="H102" s="41"/>
      <c r="I102" s="45"/>
      <c r="J102" s="45"/>
      <c r="K102" s="46" t="str">
        <f ca="1" t="shared" si="1"/>
        <v/>
      </c>
      <c r="L102" s="47"/>
      <c r="M102" s="47"/>
      <c r="N102" s="46" t="str">
        <f>IF(ISBLANK(L102),"",L102*VLOOKUP($F102,Internal!$B$26:$C$32,2,FALSE))</f>
        <v/>
      </c>
      <c r="O102" s="46" t="str">
        <f>IF(ISBLANK(M102),"",M102*VLOOKUP($F102,Internal!$B$26:$C$32,2,FALSE))</f>
        <v/>
      </c>
      <c r="P102" s="40"/>
    </row>
    <row r="103" ht="14.25" spans="2:16">
      <c r="B103" s="38">
        <v>93</v>
      </c>
      <c r="C103" s="39" t="str">
        <f>IF(ISBLANK(D103),"",_xlfn.CONCAT("T",TEXT(B103,"0000"),"/",VLOOKUP(D103,Internal!$B$35:C$39,2,FALSE),IF(OR(D103="QA",D103="Revision"),_xlfn.CONCAT("/",H103),"")))</f>
        <v/>
      </c>
      <c r="D103" s="40"/>
      <c r="E103" s="41"/>
      <c r="F103" s="41"/>
      <c r="G103" s="40"/>
      <c r="H103" s="41"/>
      <c r="I103" s="45"/>
      <c r="J103" s="45"/>
      <c r="K103" s="46" t="str">
        <f ca="1" t="shared" si="1"/>
        <v/>
      </c>
      <c r="L103" s="47"/>
      <c r="M103" s="47"/>
      <c r="N103" s="46" t="str">
        <f>IF(ISBLANK(L103),"",L103*VLOOKUP($F103,Internal!$B$26:$C$32,2,FALSE))</f>
        <v/>
      </c>
      <c r="O103" s="46" t="str">
        <f>IF(ISBLANK(M103),"",M103*VLOOKUP($F103,Internal!$B$26:$C$32,2,FALSE))</f>
        <v/>
      </c>
      <c r="P103" s="40"/>
    </row>
    <row r="104" ht="14.25" spans="2:16">
      <c r="B104" s="38">
        <v>94</v>
      </c>
      <c r="C104" s="39" t="str">
        <f>IF(ISBLANK(D104),"",_xlfn.CONCAT("T",TEXT(B104,"0000"),"/",VLOOKUP(D104,Internal!$B$35:C$39,2,FALSE),IF(OR(D104="QA",D104="Revision"),_xlfn.CONCAT("/",H104),"")))</f>
        <v/>
      </c>
      <c r="D104" s="40"/>
      <c r="E104" s="41"/>
      <c r="F104" s="41"/>
      <c r="G104" s="40"/>
      <c r="H104" s="41"/>
      <c r="I104" s="45"/>
      <c r="J104" s="45"/>
      <c r="K104" s="46" t="str">
        <f ca="1" t="shared" si="1"/>
        <v/>
      </c>
      <c r="L104" s="47"/>
      <c r="M104" s="47"/>
      <c r="N104" s="46" t="str">
        <f>IF(ISBLANK(L104),"",L104*VLOOKUP($F104,Internal!$B$26:$C$32,2,FALSE))</f>
        <v/>
      </c>
      <c r="O104" s="46" t="str">
        <f>IF(ISBLANK(M104),"",M104*VLOOKUP($F104,Internal!$B$26:$C$32,2,FALSE))</f>
        <v/>
      </c>
      <c r="P104" s="40"/>
    </row>
    <row r="105" ht="14.25" spans="2:16">
      <c r="B105" s="38">
        <v>95</v>
      </c>
      <c r="C105" s="39" t="str">
        <f>IF(ISBLANK(D105),"",_xlfn.CONCAT("T",TEXT(B105,"0000"),"/",VLOOKUP(D105,Internal!$B$35:C$39,2,FALSE),IF(OR(D105="QA",D105="Revision"),_xlfn.CONCAT("/",H105),"")))</f>
        <v/>
      </c>
      <c r="D105" s="40"/>
      <c r="E105" s="41"/>
      <c r="F105" s="41"/>
      <c r="G105" s="40"/>
      <c r="H105" s="41"/>
      <c r="I105" s="45"/>
      <c r="J105" s="45"/>
      <c r="K105" s="46" t="str">
        <f ca="1" t="shared" si="1"/>
        <v/>
      </c>
      <c r="L105" s="47"/>
      <c r="M105" s="47"/>
      <c r="N105" s="46" t="str">
        <f>IF(ISBLANK(L105),"",L105*VLOOKUP($F105,Internal!$B$26:$C$32,2,FALSE))</f>
        <v/>
      </c>
      <c r="O105" s="46" t="str">
        <f>IF(ISBLANK(M105),"",M105*VLOOKUP($F105,Internal!$B$26:$C$32,2,FALSE))</f>
        <v/>
      </c>
      <c r="P105" s="40"/>
    </row>
    <row r="106" ht="14.25" spans="2:16">
      <c r="B106" s="38">
        <v>96</v>
      </c>
      <c r="C106" s="39" t="str">
        <f>IF(ISBLANK(D106),"",_xlfn.CONCAT("T",TEXT(B106,"0000"),"/",VLOOKUP(D106,Internal!$B$35:C$39,2,FALSE),IF(OR(D106="QA",D106="Revision"),_xlfn.CONCAT("/",H106),"")))</f>
        <v/>
      </c>
      <c r="D106" s="40"/>
      <c r="E106" s="41"/>
      <c r="F106" s="41"/>
      <c r="G106" s="40"/>
      <c r="H106" s="41"/>
      <c r="I106" s="45"/>
      <c r="J106" s="45"/>
      <c r="K106" s="46" t="str">
        <f ca="1" t="shared" si="1"/>
        <v/>
      </c>
      <c r="L106" s="47"/>
      <c r="M106" s="47"/>
      <c r="N106" s="46" t="str">
        <f>IF(ISBLANK(L106),"",L106*VLOOKUP($F106,Internal!$B$26:$C$32,2,FALSE))</f>
        <v/>
      </c>
      <c r="O106" s="46" t="str">
        <f>IF(ISBLANK(M106),"",M106*VLOOKUP($F106,Internal!$B$26:$C$32,2,FALSE))</f>
        <v/>
      </c>
      <c r="P106" s="40"/>
    </row>
    <row r="107" ht="14.25" spans="2:16">
      <c r="B107" s="38">
        <v>97</v>
      </c>
      <c r="C107" s="39" t="str">
        <f>IF(ISBLANK(D107),"",_xlfn.CONCAT("T",TEXT(B107,"0000"),"/",VLOOKUP(D107,Internal!$B$35:C$39,2,FALSE),IF(OR(D107="QA",D107="Revision"),_xlfn.CONCAT("/",H107),"")))</f>
        <v/>
      </c>
      <c r="D107" s="40"/>
      <c r="E107" s="41"/>
      <c r="F107" s="41"/>
      <c r="G107" s="40"/>
      <c r="H107" s="41"/>
      <c r="I107" s="45"/>
      <c r="J107" s="45"/>
      <c r="K107" s="46" t="str">
        <f ca="1" t="shared" si="1"/>
        <v/>
      </c>
      <c r="L107" s="47"/>
      <c r="M107" s="47"/>
      <c r="N107" s="46" t="str">
        <f>IF(ISBLANK(L107),"",L107*VLOOKUP($F107,Internal!$B$26:$C$32,2,FALSE))</f>
        <v/>
      </c>
      <c r="O107" s="46" t="str">
        <f>IF(ISBLANK(M107),"",M107*VLOOKUP($F107,Internal!$B$26:$C$32,2,FALSE))</f>
        <v/>
      </c>
      <c r="P107" s="40"/>
    </row>
    <row r="108" ht="14.25" spans="2:16">
      <c r="B108" s="38">
        <v>98</v>
      </c>
      <c r="C108" s="39" t="str">
        <f>IF(ISBLANK(D108),"",_xlfn.CONCAT("T",TEXT(B108,"0000"),"/",VLOOKUP(D108,Internal!$B$35:C$39,2,FALSE),IF(OR(D108="QA",D108="Revision"),_xlfn.CONCAT("/",H108),"")))</f>
        <v/>
      </c>
      <c r="D108" s="40"/>
      <c r="E108" s="41"/>
      <c r="F108" s="41"/>
      <c r="G108" s="40"/>
      <c r="H108" s="41"/>
      <c r="I108" s="45"/>
      <c r="J108" s="45"/>
      <c r="K108" s="46" t="str">
        <f ca="1" t="shared" si="1"/>
        <v/>
      </c>
      <c r="L108" s="47"/>
      <c r="M108" s="47"/>
      <c r="N108" s="46" t="str">
        <f>IF(ISBLANK(L108),"",L108*VLOOKUP($F108,Internal!$B$26:$C$32,2,FALSE))</f>
        <v/>
      </c>
      <c r="O108" s="46" t="str">
        <f>IF(ISBLANK(M108),"",M108*VLOOKUP($F108,Internal!$B$26:$C$32,2,FALSE))</f>
        <v/>
      </c>
      <c r="P108" s="40"/>
    </row>
    <row r="109" ht="14.25" spans="2:16">
      <c r="B109" s="38">
        <v>99</v>
      </c>
      <c r="C109" s="39" t="str">
        <f>IF(ISBLANK(D109),"",_xlfn.CONCAT("T",TEXT(B109,"0000"),"/",VLOOKUP(D109,Internal!$B$35:C$39,2,FALSE),IF(OR(D109="QA",D109="Revision"),_xlfn.CONCAT("/",H109),"")))</f>
        <v/>
      </c>
      <c r="D109" s="40"/>
      <c r="E109" s="41"/>
      <c r="F109" s="41"/>
      <c r="G109" s="40"/>
      <c r="H109" s="41"/>
      <c r="I109" s="45"/>
      <c r="J109" s="45"/>
      <c r="K109" s="46" t="str">
        <f ca="1" t="shared" si="1"/>
        <v/>
      </c>
      <c r="L109" s="47"/>
      <c r="M109" s="47"/>
      <c r="N109" s="46" t="str">
        <f>IF(ISBLANK(L109),"",L109*VLOOKUP($F109,Internal!$B$26:$C$32,2,FALSE))</f>
        <v/>
      </c>
      <c r="O109" s="46" t="str">
        <f>IF(ISBLANK(M109),"",M109*VLOOKUP($F109,Internal!$B$26:$C$32,2,FALSE))</f>
        <v/>
      </c>
      <c r="P109" s="40"/>
    </row>
    <row r="110" ht="14.25" spans="2:16">
      <c r="B110" s="38">
        <v>100</v>
      </c>
      <c r="C110" s="39" t="str">
        <f>IF(ISBLANK(D110),"",_xlfn.CONCAT("T",TEXT(B110,"0000"),"/",VLOOKUP(D110,Internal!$B$35:C$39,2,FALSE),IF(OR(D110="QA",D110="Revision"),_xlfn.CONCAT("/",H110),"")))</f>
        <v/>
      </c>
      <c r="D110" s="40"/>
      <c r="E110" s="41"/>
      <c r="F110" s="41"/>
      <c r="G110" s="40"/>
      <c r="H110" s="41"/>
      <c r="I110" s="45"/>
      <c r="J110" s="45"/>
      <c r="K110" s="46" t="str">
        <f ca="1" t="shared" si="1"/>
        <v/>
      </c>
      <c r="L110" s="47"/>
      <c r="M110" s="47"/>
      <c r="N110" s="46" t="str">
        <f>IF(ISBLANK(L110),"",L110*VLOOKUP($F110,Internal!$B$26:$C$32,2,FALSE))</f>
        <v/>
      </c>
      <c r="O110" s="46" t="str">
        <f>IF(ISBLANK(M110),"",M110*VLOOKUP($F110,Internal!$B$26:$C$32,2,FALSE))</f>
        <v/>
      </c>
      <c r="P110" s="40"/>
    </row>
  </sheetData>
  <mergeCells count="6">
    <mergeCell ref="C2:P2"/>
    <mergeCell ref="C4:P4"/>
    <mergeCell ref="I9:J9"/>
    <mergeCell ref="L9:M9"/>
    <mergeCell ref="N9:O9"/>
    <mergeCell ref="C6:C7"/>
  </mergeCells>
  <conditionalFormatting sqref="H11:H110">
    <cfRule type="expression" dxfId="0" priority="2">
      <formula>AND(H11&lt;&gt;"",COUNTIF($C$11:$C$110,H11)=0)</formula>
    </cfRule>
  </conditionalFormatting>
  <conditionalFormatting sqref="J11:J110">
    <cfRule type="expression" dxfId="1" priority="1">
      <formula>AND(I11&lt;&gt;"",J11&lt;&gt;"",I11&gt;J11)</formula>
    </cfRule>
  </conditionalFormatting>
  <dataValidations count="14">
    <dataValidation allowBlank="1" showInputMessage="1" showErrorMessage="1" promptTitle="Description" prompt="Provide a succint description of the task.  If not possible, the provide a link to a document where is is described." sqref="P10"/>
    <dataValidation allowBlank="1" showInputMessage="1" showErrorMessage="1" promptTitle="ORDER" prompt="Order numbers are internal data.  Do not change them.&#10;" sqref="B11:B110"/>
    <dataValidation allowBlank="1" showInputMessage="1" showErrorMessage="1" promptTitle="ID" prompt="The IDs are updated automatically.  Don't modify them manually" sqref="C11:C110"/>
    <dataValidation type="list" allowBlank="1" showInputMessage="1" showErrorMessage="1" promptTitle="Type" prompt="Indicate the type of task." sqref="D11:D110">
      <formula1>Internal!$B$35:$B$39</formula1>
    </dataValidation>
    <dataValidation type="list" allowBlank="1" showInputMessage="1" showErrorMessage="1" promptTitle="Assignee" prompt="Select the workmate the task is assigned to." sqref="E11:E110">
      <formula1>Internal!$B$9:$B$14</formula1>
    </dataValidation>
    <dataValidation type="list" allowBlank="1" showInputMessage="1" showErrorMessage="1" promptTitle="Role" prompt="Select a role from the select box.  Use &quot;other&quot; only in truly exceptional cases.  Consult your lecturer in such cases.&#10;" sqref="F11:F110">
      <formula1>Internal!$B$26:$B$32</formula1>
    </dataValidation>
    <dataValidation type="list" allowBlank="1" showInputMessage="1" showErrorMessage="1" promptTitle="Activity" prompt="Select the Activity to perfom.  Use &quot;Other&quot; only in truly exceptional cases." sqref="G11:G110">
      <formula1>INDIRECT(F11)</formula1>
    </dataValidation>
    <dataValidation type="list" allowBlank="1" showInputMessage="1" showErrorMessage="1" promptTitle="Parent" prompt="Select the parent task if necessary.  Usually, only &quot;Quality Assurance&quot; and &quot;Revision&quot; tasks have parents." sqref="H11:H110">
      <formula1>$C$11:$C$110</formula1>
    </dataValidation>
    <dataValidation type="date" operator="between" allowBlank="1" showInputMessage="1" showErrorMessage="1" promptTitle="Start moment" prompt="Indicate the moment when the assignee starts working on this task.  Use format yy/mm/dd hh:mm." sqref="I11:I110">
      <formula1>Internal!$C$22</formula1>
      <formula2>Internal!$C$23</formula2>
    </dataValidation>
    <dataValidation type="date" operator="between" allowBlank="1" showInputMessage="1" showErrorMessage="1" promptTitle="End moment" prompt="Indicate the moment when the assignee finishes working on this task.  Use format yy/mm/dd hh:mm." sqref="J11:J110">
      <formula1>Internal!$C$22</formula1>
      <formula2>Internal!$C$23</formula2>
    </dataValidation>
    <dataValidation allowBlank="1" showInputMessage="1" showErrorMessage="1" promptTitle="Description" prompt="If actually necessary, then write a succint description and/or include a link to a document that provides further information." sqref="K11:K110 P11:P110"/>
    <dataValidation type="decimal" operator="between" allowBlank="1" showInputMessage="1" showErrorMessage="1" promptTitle="Expected workload" prompt="Enter the expected workload in hours or fractions." sqref="L11:L110">
      <formula1>0</formula1>
      <formula2>1024</formula2>
    </dataValidation>
    <dataValidation allowBlank="1" showInputMessage="1" showErrorMessage="1" promptTitle="Actual workload" prompt="Enter the actual workload in hours or fractions.&#10;" sqref="M11:M110"/>
    <dataValidation allowBlank="1" showInputMessage="1" showErrorMessage="1" promptTitle="Costs" prompt="The costs are updated automatically.  Don't modify them manually" sqref="N11:O110"/>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110"/>
  <sheetViews>
    <sheetView workbookViewId="0">
      <pane ySplit="10" topLeftCell="A11" activePane="bottomLeft" state="frozen"/>
      <selection/>
      <selection pane="bottomLeft" activeCell="A1" sqref="A1"/>
    </sheetView>
  </sheetViews>
  <sheetFormatPr defaultColWidth="9" defaultRowHeight="13.5"/>
  <cols>
    <col min="3" max="15" width="18.8833333333333" customWidth="1"/>
    <col min="16" max="16" width="64.5583333333333" customWidth="1"/>
  </cols>
  <sheetData>
    <row r="2" spans="3:16">
      <c r="C2" s="1" t="s">
        <v>122</v>
      </c>
      <c r="D2" s="1"/>
      <c r="E2" s="1"/>
      <c r="F2" s="1"/>
      <c r="G2" s="1"/>
      <c r="H2" s="1"/>
      <c r="I2" s="1"/>
      <c r="J2" s="1"/>
      <c r="K2" s="1"/>
      <c r="L2" s="1"/>
      <c r="M2" s="1"/>
      <c r="N2" s="1"/>
      <c r="O2" s="1"/>
      <c r="P2" s="1"/>
    </row>
    <row r="4" ht="15" customHeight="1" spans="3:16">
      <c r="C4" s="2" t="s">
        <v>10</v>
      </c>
      <c r="D4" s="2"/>
      <c r="E4" s="2"/>
      <c r="F4" s="2"/>
      <c r="G4" s="2"/>
      <c r="H4" s="2"/>
      <c r="I4" s="2"/>
      <c r="J4" s="2"/>
      <c r="K4" s="2"/>
      <c r="L4" s="2"/>
      <c r="M4" s="2"/>
      <c r="N4" s="2"/>
      <c r="O4" s="2"/>
      <c r="P4" s="2"/>
    </row>
    <row r="5" spans="3:16">
      <c r="C5" s="3"/>
      <c r="D5" s="3"/>
      <c r="E5" s="3"/>
      <c r="F5" s="3"/>
      <c r="G5" s="3"/>
      <c r="H5" s="3"/>
      <c r="I5" s="3"/>
      <c r="J5" s="3"/>
      <c r="K5" s="3"/>
      <c r="L5" s="3"/>
      <c r="M5" s="3"/>
      <c r="N5" s="3"/>
      <c r="O5" s="3"/>
      <c r="P5" s="3"/>
    </row>
    <row r="6" spans="3:16">
      <c r="C6" s="29" t="s">
        <v>11</v>
      </c>
      <c r="D6" s="30" t="s">
        <v>12</v>
      </c>
      <c r="E6" s="31">
        <f>SUM(N11:N110)</f>
        <v>0</v>
      </c>
      <c r="F6" s="3"/>
      <c r="G6" s="3"/>
      <c r="H6" s="3"/>
      <c r="I6" s="3"/>
      <c r="J6" s="3"/>
      <c r="K6" s="3"/>
      <c r="L6" s="3"/>
      <c r="M6" s="3"/>
      <c r="N6" s="3"/>
      <c r="O6" s="3"/>
      <c r="P6" s="3"/>
    </row>
    <row r="7" spans="3:10">
      <c r="C7" s="29"/>
      <c r="D7" s="32" t="s">
        <v>13</v>
      </c>
      <c r="E7" s="33">
        <f>SUM(O11:O110)</f>
        <v>0</v>
      </c>
      <c r="J7" s="42"/>
    </row>
    <row r="9" spans="2:16">
      <c r="B9" s="34"/>
      <c r="C9" s="35"/>
      <c r="D9" s="35"/>
      <c r="E9" s="35"/>
      <c r="F9" s="35"/>
      <c r="G9" s="35"/>
      <c r="H9" s="35"/>
      <c r="I9" s="43" t="s">
        <v>14</v>
      </c>
      <c r="J9" s="43"/>
      <c r="K9" s="35"/>
      <c r="L9" s="43" t="s">
        <v>15</v>
      </c>
      <c r="M9" s="43"/>
      <c r="N9" s="43" t="s">
        <v>16</v>
      </c>
      <c r="O9" s="43"/>
      <c r="P9" s="35"/>
    </row>
    <row r="10" ht="14.25" spans="2:16">
      <c r="B10" s="36" t="s">
        <v>17</v>
      </c>
      <c r="C10" s="36" t="s">
        <v>18</v>
      </c>
      <c r="D10" s="37" t="s">
        <v>19</v>
      </c>
      <c r="E10" s="37" t="s">
        <v>20</v>
      </c>
      <c r="F10" s="37" t="s">
        <v>21</v>
      </c>
      <c r="G10" s="37" t="s">
        <v>22</v>
      </c>
      <c r="H10" s="36" t="s">
        <v>23</v>
      </c>
      <c r="I10" s="44" t="s">
        <v>24</v>
      </c>
      <c r="J10" s="44" t="s">
        <v>25</v>
      </c>
      <c r="K10" s="37" t="s">
        <v>26</v>
      </c>
      <c r="L10" s="44" t="s">
        <v>27</v>
      </c>
      <c r="M10" s="44" t="s">
        <v>28</v>
      </c>
      <c r="N10" s="44" t="s">
        <v>27</v>
      </c>
      <c r="O10" s="44" t="s">
        <v>28</v>
      </c>
      <c r="P10" s="37" t="s">
        <v>29</v>
      </c>
    </row>
    <row r="11" ht="14.25" spans="2:16">
      <c r="B11" s="38">
        <v>1</v>
      </c>
      <c r="C11" s="39" t="str">
        <f>IF(ISBLANK(D11),"",_xlfn.CONCAT("T",TEXT(B11,"0000"),"/",VLOOKUP(D11,Internal!$B$35:C$39,2,FALSE),IF(OR(D11="QA",D11="Revision"),_xlfn.CONCAT("/",H11),"")))</f>
        <v/>
      </c>
      <c r="D11" s="40"/>
      <c r="E11" s="41"/>
      <c r="F11" s="41"/>
      <c r="G11" s="40"/>
      <c r="H11" s="41"/>
      <c r="I11" s="45"/>
      <c r="J11" s="45"/>
      <c r="K11" s="46" t="str">
        <f ca="1">IF(OR(I11="",J11=""),"",IF(AND(J11&lt;&gt;"",I11&gt;=NOW()),"Planned",IF(AND(J11&lt;&gt;"",J11&lt;NOW()),"Completed","Ongoing")))</f>
        <v/>
      </c>
      <c r="L11" s="47"/>
      <c r="M11" s="47"/>
      <c r="N11" s="46" t="str">
        <f>IF(ISBLANK(L11),"",L11*VLOOKUP($F11,Internal!$B$26:$C$32,2,FALSE))</f>
        <v/>
      </c>
      <c r="O11" s="46" t="str">
        <f>IF(ISBLANK(M11),"",M11*VLOOKUP($F11,Internal!$B$26:$C$32,2,FALSE))</f>
        <v/>
      </c>
      <c r="P11" s="40"/>
    </row>
    <row r="12" ht="14.25" spans="2:16">
      <c r="B12" s="38">
        <v>2</v>
      </c>
      <c r="C12" s="39" t="str">
        <f>IF(ISBLANK(D12),"",_xlfn.CONCAT("T",TEXT(B12,"0000"),"/",VLOOKUP(D12,Internal!$B$35:C$39,2,FALSE),IF(OR(D12="QA",D12="Revision"),_xlfn.CONCAT("/",H12),"")))</f>
        <v/>
      </c>
      <c r="D12" s="40"/>
      <c r="E12" s="41"/>
      <c r="F12" s="41"/>
      <c r="G12" s="40"/>
      <c r="H12" s="41"/>
      <c r="I12" s="45"/>
      <c r="J12" s="45"/>
      <c r="K12" s="46" t="str">
        <f ca="1" t="shared" ref="K12:K75" si="0">IF(OR(I12="",J12=""),"",IF(AND(J12&lt;&gt;"",I12&gt;=NOW()),"Planned",IF(AND(J12&lt;&gt;"",J12&lt;NOW()),"Completed","Ongoing")))</f>
        <v/>
      </c>
      <c r="L12" s="47"/>
      <c r="M12" s="47"/>
      <c r="N12" s="46" t="str">
        <f>IF(ISBLANK(L12),"",L12*VLOOKUP($F12,Internal!$B$26:$C$32,2,FALSE))</f>
        <v/>
      </c>
      <c r="O12" s="46" t="str">
        <f>IF(ISBLANK(M12),"",M12*VLOOKUP($F12,Internal!$B$26:$C$32,2,FALSE))</f>
        <v/>
      </c>
      <c r="P12" s="40"/>
    </row>
    <row r="13" ht="14.25" spans="2:16">
      <c r="B13" s="38">
        <v>3</v>
      </c>
      <c r="C13" s="39" t="str">
        <f>IF(ISBLANK(D13),"",_xlfn.CONCAT("T",TEXT(B13,"0000"),"/",VLOOKUP(D13,Internal!$B$35:C$39,2,FALSE),IF(OR(D13="QA",D13="Revision"),_xlfn.CONCAT("/",H13),"")))</f>
        <v/>
      </c>
      <c r="D13" s="40"/>
      <c r="E13" s="41"/>
      <c r="F13" s="41"/>
      <c r="G13" s="40"/>
      <c r="H13" s="41"/>
      <c r="I13" s="45"/>
      <c r="J13" s="45"/>
      <c r="K13" s="46" t="str">
        <f ca="1" t="shared" si="0"/>
        <v/>
      </c>
      <c r="L13" s="47"/>
      <c r="M13" s="47"/>
      <c r="N13" s="46" t="str">
        <f>IF(ISBLANK(L13),"",L13*VLOOKUP($F13,Internal!$B$26:$C$32,2,FALSE))</f>
        <v/>
      </c>
      <c r="O13" s="46" t="str">
        <f>IF(ISBLANK(M13),"",M13*VLOOKUP($F13,Internal!$B$26:$C$32,2,FALSE))</f>
        <v/>
      </c>
      <c r="P13" s="40"/>
    </row>
    <row r="14" ht="14.25" spans="2:16">
      <c r="B14" s="38">
        <v>4</v>
      </c>
      <c r="C14" s="39" t="str">
        <f>IF(ISBLANK(D14),"",_xlfn.CONCAT("T",TEXT(B14,"0000"),"/",VLOOKUP(D14,Internal!$B$35:C$39,2,FALSE),IF(OR(D14="QA",D14="Revision"),_xlfn.CONCAT("/",H14),"")))</f>
        <v/>
      </c>
      <c r="D14" s="40"/>
      <c r="E14" s="41"/>
      <c r="F14" s="41"/>
      <c r="G14" s="40"/>
      <c r="H14" s="41"/>
      <c r="I14" s="45"/>
      <c r="J14" s="45"/>
      <c r="K14" s="46" t="str">
        <f ca="1" t="shared" si="0"/>
        <v/>
      </c>
      <c r="L14" s="47"/>
      <c r="M14" s="47"/>
      <c r="N14" s="46" t="str">
        <f>IF(ISBLANK(L14),"",L14*VLOOKUP($F14,Internal!$B$26:$C$32,2,FALSE))</f>
        <v/>
      </c>
      <c r="O14" s="46" t="str">
        <f>IF(ISBLANK(M14),"",M14*VLOOKUP($F14,Internal!$B$26:$C$32,2,FALSE))</f>
        <v/>
      </c>
      <c r="P14" s="40"/>
    </row>
    <row r="15" ht="14.25" spans="2:16">
      <c r="B15" s="38">
        <v>5</v>
      </c>
      <c r="C15" s="39" t="str">
        <f>IF(ISBLANK(D15),"",_xlfn.CONCAT("T",TEXT(B15,"0000"),"/",VLOOKUP(D15,Internal!$B$35:C$39,2,FALSE),IF(OR(D15="QA",D15="Revision"),_xlfn.CONCAT("/",H15),"")))</f>
        <v/>
      </c>
      <c r="D15" s="40"/>
      <c r="E15" s="41"/>
      <c r="F15" s="41"/>
      <c r="G15" s="40"/>
      <c r="H15" s="41"/>
      <c r="I15" s="45"/>
      <c r="J15" s="45"/>
      <c r="K15" s="46" t="str">
        <f ca="1" t="shared" si="0"/>
        <v/>
      </c>
      <c r="L15" s="47"/>
      <c r="M15" s="47"/>
      <c r="N15" s="46" t="str">
        <f>IF(ISBLANK(L15),"",L15*VLOOKUP($F15,Internal!$B$26:$C$32,2,FALSE))</f>
        <v/>
      </c>
      <c r="O15" s="46" t="str">
        <f>IF(ISBLANK(M15),"",M15*VLOOKUP($F15,Internal!$B$26:$C$32,2,FALSE))</f>
        <v/>
      </c>
      <c r="P15" s="40"/>
    </row>
    <row r="16" ht="14.25" spans="2:16">
      <c r="B16" s="38">
        <v>6</v>
      </c>
      <c r="C16" s="39" t="str">
        <f>IF(ISBLANK(D16),"",_xlfn.CONCAT("T",TEXT(B16,"0000"),"/",VLOOKUP(D16,Internal!$B$35:C$39,2,FALSE),IF(OR(D16="QA",D16="Revision"),_xlfn.CONCAT("/",H16),"")))</f>
        <v/>
      </c>
      <c r="D16" s="40"/>
      <c r="E16" s="41"/>
      <c r="F16" s="41"/>
      <c r="G16" s="40"/>
      <c r="H16" s="41"/>
      <c r="I16" s="45"/>
      <c r="J16" s="45"/>
      <c r="K16" s="46" t="str">
        <f ca="1" t="shared" si="0"/>
        <v/>
      </c>
      <c r="L16" s="47"/>
      <c r="M16" s="47"/>
      <c r="N16" s="46" t="str">
        <f>IF(ISBLANK(L16),"",L16*VLOOKUP($F16,Internal!$B$26:$C$32,2,FALSE))</f>
        <v/>
      </c>
      <c r="O16" s="46" t="str">
        <f>IF(ISBLANK(M16),"",M16*VLOOKUP($F16,Internal!$B$26:$C$32,2,FALSE))</f>
        <v/>
      </c>
      <c r="P16" s="40"/>
    </row>
    <row r="17" ht="14.25" spans="2:16">
      <c r="B17" s="38">
        <v>7</v>
      </c>
      <c r="C17" s="39" t="str">
        <f>IF(ISBLANK(D17),"",_xlfn.CONCAT("T",TEXT(B17,"0000"),"/",VLOOKUP(D17,Internal!$B$35:C$39,2,FALSE),IF(OR(D17="QA",D17="Revision"),_xlfn.CONCAT("/",H17),"")))</f>
        <v/>
      </c>
      <c r="D17" s="40"/>
      <c r="E17" s="41"/>
      <c r="F17" s="41"/>
      <c r="G17" s="40"/>
      <c r="H17" s="41"/>
      <c r="I17" s="45"/>
      <c r="J17" s="45"/>
      <c r="K17" s="46" t="str">
        <f ca="1" t="shared" si="0"/>
        <v/>
      </c>
      <c r="L17" s="47"/>
      <c r="M17" s="47"/>
      <c r="N17" s="46" t="str">
        <f>IF(ISBLANK(L17),"",L17*VLOOKUP($F17,Internal!$B$26:$C$32,2,FALSE))</f>
        <v/>
      </c>
      <c r="O17" s="46" t="str">
        <f>IF(ISBLANK(M17),"",M17*VLOOKUP($F17,Internal!$B$26:$C$32,2,FALSE))</f>
        <v/>
      </c>
      <c r="P17" s="40"/>
    </row>
    <row r="18" ht="14.25" spans="2:16">
      <c r="B18" s="38">
        <v>8</v>
      </c>
      <c r="C18" s="39" t="str">
        <f>IF(ISBLANK(D18),"",_xlfn.CONCAT("T",TEXT(B18,"0000"),"/",VLOOKUP(D18,Internal!$B$35:C$39,2,FALSE),IF(OR(D18="QA",D18="Revision"),_xlfn.CONCAT("/",H18),"")))</f>
        <v/>
      </c>
      <c r="D18" s="40"/>
      <c r="E18" s="41"/>
      <c r="F18" s="41"/>
      <c r="G18" s="40"/>
      <c r="H18" s="41"/>
      <c r="I18" s="45"/>
      <c r="J18" s="45"/>
      <c r="K18" s="46" t="str">
        <f ca="1" t="shared" si="0"/>
        <v/>
      </c>
      <c r="L18" s="47"/>
      <c r="M18" s="47"/>
      <c r="N18" s="46" t="str">
        <f>IF(ISBLANK(L18),"",L18*VLOOKUP($F18,Internal!$B$26:$C$32,2,FALSE))</f>
        <v/>
      </c>
      <c r="O18" s="46" t="str">
        <f>IF(ISBLANK(M18),"",M18*VLOOKUP($F18,Internal!$B$26:$C$32,2,FALSE))</f>
        <v/>
      </c>
      <c r="P18" s="40"/>
    </row>
    <row r="19" ht="14.25" spans="2:16">
      <c r="B19" s="38">
        <v>9</v>
      </c>
      <c r="C19" s="39" t="str">
        <f>IF(ISBLANK(D19),"",_xlfn.CONCAT("T",TEXT(B19,"0000"),"/",VLOOKUP(D19,Internal!$B$35:C$39,2,FALSE),IF(OR(D19="QA",D19="Revision"),_xlfn.CONCAT("/",H19),"")))</f>
        <v/>
      </c>
      <c r="D19" s="40"/>
      <c r="E19" s="41"/>
      <c r="F19" s="41"/>
      <c r="G19" s="40"/>
      <c r="H19" s="41"/>
      <c r="I19" s="45"/>
      <c r="J19" s="45"/>
      <c r="K19" s="46" t="str">
        <f ca="1" t="shared" si="0"/>
        <v/>
      </c>
      <c r="L19" s="47"/>
      <c r="M19" s="47"/>
      <c r="N19" s="46" t="str">
        <f>IF(ISBLANK(L19),"",L19*VLOOKUP($F19,Internal!$B$26:$C$32,2,FALSE))</f>
        <v/>
      </c>
      <c r="O19" s="46" t="str">
        <f>IF(ISBLANK(M19),"",M19*VLOOKUP($F19,Internal!$B$26:$C$32,2,FALSE))</f>
        <v/>
      </c>
      <c r="P19" s="40"/>
    </row>
    <row r="20" ht="14.25" spans="2:16">
      <c r="B20" s="38">
        <v>10</v>
      </c>
      <c r="C20" s="39" t="str">
        <f>IF(ISBLANK(D20),"",_xlfn.CONCAT("T",TEXT(B20,"0000"),"/",VLOOKUP(D20,Internal!$B$35:C$39,2,FALSE),IF(OR(D20="QA",D20="Revision"),_xlfn.CONCAT("/",H20),"")))</f>
        <v/>
      </c>
      <c r="D20" s="40"/>
      <c r="E20" s="41"/>
      <c r="F20" s="41"/>
      <c r="G20" s="40"/>
      <c r="H20" s="41"/>
      <c r="I20" s="45"/>
      <c r="J20" s="45"/>
      <c r="K20" s="46" t="str">
        <f ca="1" t="shared" si="0"/>
        <v/>
      </c>
      <c r="L20" s="47"/>
      <c r="M20" s="47"/>
      <c r="N20" s="46" t="str">
        <f>IF(ISBLANK(L20),"",L20*VLOOKUP($F20,Internal!$B$26:$C$32,2,FALSE))</f>
        <v/>
      </c>
      <c r="O20" s="46" t="str">
        <f>IF(ISBLANK(M20),"",M20*VLOOKUP($F20,Internal!$B$26:$C$32,2,FALSE))</f>
        <v/>
      </c>
      <c r="P20" s="40"/>
    </row>
    <row r="21" ht="14.25" spans="2:16">
      <c r="B21" s="38">
        <v>11</v>
      </c>
      <c r="C21" s="39" t="str">
        <f>IF(ISBLANK(D21),"",_xlfn.CONCAT("T",TEXT(B21,"0000"),"/",VLOOKUP(D21,Internal!$B$35:C$39,2,FALSE),IF(OR(D21="QA",D21="Revision"),_xlfn.CONCAT("/",H21),"")))</f>
        <v/>
      </c>
      <c r="D21" s="40"/>
      <c r="E21" s="41"/>
      <c r="F21" s="41"/>
      <c r="G21" s="40"/>
      <c r="H21" s="41"/>
      <c r="I21" s="45"/>
      <c r="J21" s="45"/>
      <c r="K21" s="46" t="str">
        <f ca="1" t="shared" si="0"/>
        <v/>
      </c>
      <c r="L21" s="47"/>
      <c r="M21" s="47"/>
      <c r="N21" s="46" t="str">
        <f>IF(ISBLANK(L21),"",L21*VLOOKUP($F21,Internal!$B$26:$C$32,2,FALSE))</f>
        <v/>
      </c>
      <c r="O21" s="46" t="str">
        <f>IF(ISBLANK(M21),"",M21*VLOOKUP($F21,Internal!$B$26:$C$32,2,FALSE))</f>
        <v/>
      </c>
      <c r="P21" s="40"/>
    </row>
    <row r="22" ht="14.25" spans="2:16">
      <c r="B22" s="38">
        <v>12</v>
      </c>
      <c r="C22" s="39" t="str">
        <f>IF(ISBLANK(D22),"",_xlfn.CONCAT("T",TEXT(B22,"0000"),"/",VLOOKUP(D22,Internal!$B$35:C$39,2,FALSE),IF(OR(D22="QA",D22="Revision"),_xlfn.CONCAT("/",H22),"")))</f>
        <v/>
      </c>
      <c r="D22" s="40"/>
      <c r="E22" s="41"/>
      <c r="F22" s="41"/>
      <c r="G22" s="40"/>
      <c r="H22" s="41"/>
      <c r="I22" s="45"/>
      <c r="J22" s="45"/>
      <c r="K22" s="46" t="str">
        <f ca="1" t="shared" si="0"/>
        <v/>
      </c>
      <c r="L22" s="47"/>
      <c r="M22" s="47"/>
      <c r="N22" s="46" t="str">
        <f>IF(ISBLANK(L22),"",L22*VLOOKUP($F22,Internal!$B$26:$C$32,2,FALSE))</f>
        <v/>
      </c>
      <c r="O22" s="46" t="str">
        <f>IF(ISBLANK(M22),"",M22*VLOOKUP($F22,Internal!$B$26:$C$32,2,FALSE))</f>
        <v/>
      </c>
      <c r="P22" s="40"/>
    </row>
    <row r="23" ht="14.25" spans="2:16">
      <c r="B23" s="38">
        <v>13</v>
      </c>
      <c r="C23" s="39" t="str">
        <f>IF(ISBLANK(D23),"",_xlfn.CONCAT("T",TEXT(B23,"0000"),"/",VLOOKUP(D23,Internal!$B$35:C$39,2,FALSE),IF(OR(D23="QA",D23="Revision"),_xlfn.CONCAT("/",H23),"")))</f>
        <v/>
      </c>
      <c r="D23" s="40"/>
      <c r="E23" s="41"/>
      <c r="F23" s="41"/>
      <c r="G23" s="40"/>
      <c r="H23" s="41"/>
      <c r="I23" s="45"/>
      <c r="J23" s="45"/>
      <c r="K23" s="46" t="str">
        <f ca="1" t="shared" si="0"/>
        <v/>
      </c>
      <c r="L23" s="47"/>
      <c r="M23" s="47"/>
      <c r="N23" s="46" t="str">
        <f>IF(ISBLANK(L23),"",L23*VLOOKUP($F23,Internal!$B$26:$C$32,2,FALSE))</f>
        <v/>
      </c>
      <c r="O23" s="46" t="str">
        <f>IF(ISBLANK(M23),"",M23*VLOOKUP($F23,Internal!$B$26:$C$32,2,FALSE))</f>
        <v/>
      </c>
      <c r="P23" s="40"/>
    </row>
    <row r="24" ht="14.25" spans="2:16">
      <c r="B24" s="38">
        <v>14</v>
      </c>
      <c r="C24" s="39" t="str">
        <f>IF(ISBLANK(D24),"",_xlfn.CONCAT("T",TEXT(B24,"0000"),"/",VLOOKUP(D24,Internal!$B$35:C$39,2,FALSE),IF(OR(D24="QA",D24="Revision"),_xlfn.CONCAT("/",H24),"")))</f>
        <v/>
      </c>
      <c r="D24" s="40"/>
      <c r="E24" s="41"/>
      <c r="F24" s="41"/>
      <c r="G24" s="40"/>
      <c r="H24" s="41"/>
      <c r="I24" s="45"/>
      <c r="J24" s="45"/>
      <c r="K24" s="46" t="str">
        <f ca="1" t="shared" si="0"/>
        <v/>
      </c>
      <c r="L24" s="47"/>
      <c r="M24" s="47"/>
      <c r="N24" s="46" t="str">
        <f>IF(ISBLANK(L24),"",L24*VLOOKUP($F24,Internal!$B$26:$C$32,2,FALSE))</f>
        <v/>
      </c>
      <c r="O24" s="46" t="str">
        <f>IF(ISBLANK(M24),"",M24*VLOOKUP($F24,Internal!$B$26:$C$32,2,FALSE))</f>
        <v/>
      </c>
      <c r="P24" s="40"/>
    </row>
    <row r="25" ht="14.25" spans="2:16">
      <c r="B25" s="38">
        <v>15</v>
      </c>
      <c r="C25" s="39" t="str">
        <f>IF(ISBLANK(D25),"",_xlfn.CONCAT("T",TEXT(B25,"0000"),"/",VLOOKUP(D25,Internal!$B$35:C$39,2,FALSE),IF(OR(D25="QA",D25="Revision"),_xlfn.CONCAT("/",H25),"")))</f>
        <v/>
      </c>
      <c r="D25" s="40"/>
      <c r="E25" s="41"/>
      <c r="F25" s="41"/>
      <c r="G25" s="40"/>
      <c r="H25" s="41"/>
      <c r="I25" s="45"/>
      <c r="J25" s="45"/>
      <c r="K25" s="46" t="str">
        <f ca="1" t="shared" si="0"/>
        <v/>
      </c>
      <c r="L25" s="47"/>
      <c r="M25" s="47"/>
      <c r="N25" s="46" t="str">
        <f>IF(ISBLANK(L25),"",L25*VLOOKUP($F25,Internal!$B$26:$C$32,2,FALSE))</f>
        <v/>
      </c>
      <c r="O25" s="46" t="str">
        <f>IF(ISBLANK(M25),"",M25*VLOOKUP($F25,Internal!$B$26:$C$32,2,FALSE))</f>
        <v/>
      </c>
      <c r="P25" s="40"/>
    </row>
    <row r="26" ht="14.25" spans="2:16">
      <c r="B26" s="38">
        <v>16</v>
      </c>
      <c r="C26" s="39" t="str">
        <f>IF(ISBLANK(D26),"",_xlfn.CONCAT("T",TEXT(B26,"0000"),"/",VLOOKUP(D26,Internal!$B$35:C$39,2,FALSE),IF(OR(D26="QA",D26="Revision"),_xlfn.CONCAT("/",H26),"")))</f>
        <v/>
      </c>
      <c r="D26" s="40"/>
      <c r="E26" s="41"/>
      <c r="F26" s="41"/>
      <c r="G26" s="40"/>
      <c r="H26" s="41"/>
      <c r="I26" s="45"/>
      <c r="J26" s="45"/>
      <c r="K26" s="46" t="str">
        <f ca="1" t="shared" si="0"/>
        <v/>
      </c>
      <c r="L26" s="47"/>
      <c r="M26" s="47"/>
      <c r="N26" s="46" t="str">
        <f>IF(ISBLANK(L26),"",L26*VLOOKUP($F26,Internal!$B$26:$C$32,2,FALSE))</f>
        <v/>
      </c>
      <c r="O26" s="46" t="str">
        <f>IF(ISBLANK(M26),"",M26*VLOOKUP($F26,Internal!$B$26:$C$32,2,FALSE))</f>
        <v/>
      </c>
      <c r="P26" s="40"/>
    </row>
    <row r="27" ht="14.25" spans="2:16">
      <c r="B27" s="38">
        <v>17</v>
      </c>
      <c r="C27" s="39" t="str">
        <f>IF(ISBLANK(D27),"",_xlfn.CONCAT("T",TEXT(B27,"0000"),"/",VLOOKUP(D27,Internal!$B$35:C$39,2,FALSE),IF(OR(D27="QA",D27="Revision"),_xlfn.CONCAT("/",H27),"")))</f>
        <v/>
      </c>
      <c r="D27" s="40"/>
      <c r="E27" s="41"/>
      <c r="F27" s="41"/>
      <c r="G27" s="40"/>
      <c r="H27" s="41"/>
      <c r="I27" s="45"/>
      <c r="J27" s="45"/>
      <c r="K27" s="46" t="str">
        <f ca="1" t="shared" si="0"/>
        <v/>
      </c>
      <c r="L27" s="47"/>
      <c r="M27" s="47"/>
      <c r="N27" s="46" t="str">
        <f>IF(ISBLANK(L27),"",L27*VLOOKUP($F27,Internal!$B$26:$C$32,2,FALSE))</f>
        <v/>
      </c>
      <c r="O27" s="46" t="str">
        <f>IF(ISBLANK(M27),"",M27*VLOOKUP($F27,Internal!$B$26:$C$32,2,FALSE))</f>
        <v/>
      </c>
      <c r="P27" s="40"/>
    </row>
    <row r="28" ht="14.25" spans="2:16">
      <c r="B28" s="38">
        <v>18</v>
      </c>
      <c r="C28" s="39" t="str">
        <f>IF(ISBLANK(D28),"",_xlfn.CONCAT("T",TEXT(B28,"0000"),"/",VLOOKUP(D28,Internal!$B$35:C$39,2,FALSE),IF(OR(D28="QA",D28="Revision"),_xlfn.CONCAT("/",H28),"")))</f>
        <v/>
      </c>
      <c r="D28" s="40"/>
      <c r="E28" s="41"/>
      <c r="F28" s="41"/>
      <c r="G28" s="40"/>
      <c r="H28" s="41"/>
      <c r="I28" s="45"/>
      <c r="J28" s="45"/>
      <c r="K28" s="46" t="str">
        <f ca="1" t="shared" si="0"/>
        <v/>
      </c>
      <c r="L28" s="47"/>
      <c r="M28" s="47"/>
      <c r="N28" s="46" t="str">
        <f>IF(ISBLANK(L28),"",L28*VLOOKUP($F28,Internal!$B$26:$C$32,2,FALSE))</f>
        <v/>
      </c>
      <c r="O28" s="46" t="str">
        <f>IF(ISBLANK(M28),"",M28*VLOOKUP($F28,Internal!$B$26:$C$32,2,FALSE))</f>
        <v/>
      </c>
      <c r="P28" s="40"/>
    </row>
    <row r="29" ht="14.25" spans="2:16">
      <c r="B29" s="38">
        <v>19</v>
      </c>
      <c r="C29" s="39" t="str">
        <f>IF(ISBLANK(D29),"",_xlfn.CONCAT("T",TEXT(B29,"0000"),"/",VLOOKUP(D29,Internal!$B$35:C$39,2,FALSE),IF(OR(D29="QA",D29="Revision"),_xlfn.CONCAT("/",H29),"")))</f>
        <v/>
      </c>
      <c r="D29" s="40"/>
      <c r="E29" s="41"/>
      <c r="F29" s="41"/>
      <c r="G29" s="40"/>
      <c r="H29" s="41"/>
      <c r="I29" s="45"/>
      <c r="J29" s="45"/>
      <c r="K29" s="46" t="str">
        <f ca="1" t="shared" si="0"/>
        <v/>
      </c>
      <c r="L29" s="47"/>
      <c r="M29" s="47"/>
      <c r="N29" s="46" t="str">
        <f>IF(ISBLANK(L29),"",L29*VLOOKUP($F29,Internal!$B$26:$C$32,2,FALSE))</f>
        <v/>
      </c>
      <c r="O29" s="46" t="str">
        <f>IF(ISBLANK(M29),"",M29*VLOOKUP($F29,Internal!$B$26:$C$32,2,FALSE))</f>
        <v/>
      </c>
      <c r="P29" s="40"/>
    </row>
    <row r="30" ht="14.25" spans="2:16">
      <c r="B30" s="38">
        <v>20</v>
      </c>
      <c r="C30" s="39" t="str">
        <f>IF(ISBLANK(D30),"",_xlfn.CONCAT("T",TEXT(B30,"0000"),"/",VLOOKUP(D30,Internal!$B$35:C$39,2,FALSE),IF(OR(D30="QA",D30="Revision"),_xlfn.CONCAT("/",H30),"")))</f>
        <v/>
      </c>
      <c r="D30" s="40"/>
      <c r="E30" s="41"/>
      <c r="F30" s="41"/>
      <c r="G30" s="40"/>
      <c r="H30" s="41"/>
      <c r="I30" s="45"/>
      <c r="J30" s="45"/>
      <c r="K30" s="46" t="str">
        <f ca="1" t="shared" si="0"/>
        <v/>
      </c>
      <c r="L30" s="47"/>
      <c r="M30" s="47"/>
      <c r="N30" s="46" t="str">
        <f>IF(ISBLANK(L30),"",L30*VLOOKUP($F30,Internal!$B$26:$C$32,2,FALSE))</f>
        <v/>
      </c>
      <c r="O30" s="46" t="str">
        <f>IF(ISBLANK(M30),"",M30*VLOOKUP($F30,Internal!$B$26:$C$32,2,FALSE))</f>
        <v/>
      </c>
      <c r="P30" s="40"/>
    </row>
    <row r="31" ht="14.25" spans="2:16">
      <c r="B31" s="38">
        <v>21</v>
      </c>
      <c r="C31" s="39" t="str">
        <f>IF(ISBLANK(D31),"",_xlfn.CONCAT("T",TEXT(B31,"0000"),"/",VLOOKUP(D31,Internal!$B$35:C$39,2,FALSE),IF(OR(D31="QA",D31="Revision"),_xlfn.CONCAT("/",H31),"")))</f>
        <v/>
      </c>
      <c r="D31" s="40"/>
      <c r="E31" s="41"/>
      <c r="F31" s="41"/>
      <c r="G31" s="40"/>
      <c r="H31" s="41"/>
      <c r="I31" s="45"/>
      <c r="J31" s="45"/>
      <c r="K31" s="46" t="str">
        <f ca="1" t="shared" si="0"/>
        <v/>
      </c>
      <c r="L31" s="47"/>
      <c r="M31" s="47"/>
      <c r="N31" s="46" t="str">
        <f>IF(ISBLANK(L31),"",L31*VLOOKUP($F31,Internal!$B$26:$C$32,2,FALSE))</f>
        <v/>
      </c>
      <c r="O31" s="46" t="str">
        <f>IF(ISBLANK(M31),"",M31*VLOOKUP($F31,Internal!$B$26:$C$32,2,FALSE))</f>
        <v/>
      </c>
      <c r="P31" s="40"/>
    </row>
    <row r="32" ht="14.25" spans="2:16">
      <c r="B32" s="38">
        <v>22</v>
      </c>
      <c r="C32" s="39" t="str">
        <f>IF(ISBLANK(D32),"",_xlfn.CONCAT("T",TEXT(B32,"0000"),"/",VLOOKUP(D32,Internal!$B$35:C$39,2,FALSE),IF(OR(D32="QA",D32="Revision"),_xlfn.CONCAT("/",H32),"")))</f>
        <v/>
      </c>
      <c r="D32" s="40"/>
      <c r="E32" s="41"/>
      <c r="F32" s="41"/>
      <c r="G32" s="40"/>
      <c r="H32" s="41"/>
      <c r="I32" s="45"/>
      <c r="J32" s="45"/>
      <c r="K32" s="46" t="str">
        <f ca="1" t="shared" si="0"/>
        <v/>
      </c>
      <c r="L32" s="47"/>
      <c r="M32" s="47"/>
      <c r="N32" s="46" t="str">
        <f>IF(ISBLANK(L32),"",L32*VLOOKUP($F32,Internal!$B$26:$C$32,2,FALSE))</f>
        <v/>
      </c>
      <c r="O32" s="46" t="str">
        <f>IF(ISBLANK(M32),"",M32*VLOOKUP($F32,Internal!$B$26:$C$32,2,FALSE))</f>
        <v/>
      </c>
      <c r="P32" s="40"/>
    </row>
    <row r="33" ht="14.25" spans="2:16">
      <c r="B33" s="38">
        <v>23</v>
      </c>
      <c r="C33" s="39" t="str">
        <f>IF(ISBLANK(D33),"",_xlfn.CONCAT("T",TEXT(B33,"0000"),"/",VLOOKUP(D33,Internal!$B$35:C$39,2,FALSE),IF(OR(D33="QA",D33="Revision"),_xlfn.CONCAT("/",H33),"")))</f>
        <v/>
      </c>
      <c r="D33" s="40"/>
      <c r="E33" s="41"/>
      <c r="F33" s="41"/>
      <c r="G33" s="40"/>
      <c r="H33" s="41"/>
      <c r="I33" s="45"/>
      <c r="J33" s="45"/>
      <c r="K33" s="46" t="str">
        <f ca="1" t="shared" si="0"/>
        <v/>
      </c>
      <c r="L33" s="47"/>
      <c r="M33" s="47"/>
      <c r="N33" s="46" t="str">
        <f>IF(ISBLANK(L33),"",L33*VLOOKUP($F33,Internal!$B$26:$C$32,2,FALSE))</f>
        <v/>
      </c>
      <c r="O33" s="46" t="str">
        <f>IF(ISBLANK(M33),"",M33*VLOOKUP($F33,Internal!$B$26:$C$32,2,FALSE))</f>
        <v/>
      </c>
      <c r="P33" s="40"/>
    </row>
    <row r="34" ht="14.25" spans="2:16">
      <c r="B34" s="38">
        <v>24</v>
      </c>
      <c r="C34" s="39" t="str">
        <f>IF(ISBLANK(D34),"",_xlfn.CONCAT("T",TEXT(B34,"0000"),"/",VLOOKUP(D34,Internal!$B$35:C$39,2,FALSE),IF(OR(D34="QA",D34="Revision"),_xlfn.CONCAT("/",H34),"")))</f>
        <v/>
      </c>
      <c r="D34" s="40"/>
      <c r="E34" s="41"/>
      <c r="F34" s="41"/>
      <c r="G34" s="40"/>
      <c r="H34" s="41"/>
      <c r="I34" s="45"/>
      <c r="J34" s="45"/>
      <c r="K34" s="46" t="str">
        <f ca="1" t="shared" si="0"/>
        <v/>
      </c>
      <c r="L34" s="47"/>
      <c r="M34" s="47"/>
      <c r="N34" s="46" t="str">
        <f>IF(ISBLANK(L34),"",L34*VLOOKUP($F34,Internal!$B$26:$C$32,2,FALSE))</f>
        <v/>
      </c>
      <c r="O34" s="46" t="str">
        <f>IF(ISBLANK(M34),"",M34*VLOOKUP($F34,Internal!$B$26:$C$32,2,FALSE))</f>
        <v/>
      </c>
      <c r="P34" s="40"/>
    </row>
    <row r="35" ht="14.25" spans="2:16">
      <c r="B35" s="38">
        <v>25</v>
      </c>
      <c r="C35" s="39" t="str">
        <f>IF(ISBLANK(D35),"",_xlfn.CONCAT("T",TEXT(B35,"0000"),"/",VLOOKUP(D35,Internal!$B$35:C$39,2,FALSE),IF(OR(D35="QA",D35="Revision"),_xlfn.CONCAT("/",H35),"")))</f>
        <v/>
      </c>
      <c r="D35" s="40"/>
      <c r="E35" s="41"/>
      <c r="F35" s="41"/>
      <c r="G35" s="40"/>
      <c r="H35" s="41"/>
      <c r="I35" s="45"/>
      <c r="J35" s="45"/>
      <c r="K35" s="46" t="str">
        <f ca="1" t="shared" si="0"/>
        <v/>
      </c>
      <c r="L35" s="47"/>
      <c r="M35" s="47"/>
      <c r="N35" s="46" t="str">
        <f>IF(ISBLANK(L35),"",L35*VLOOKUP($F35,Internal!$B$26:$C$32,2,FALSE))</f>
        <v/>
      </c>
      <c r="O35" s="46" t="str">
        <f>IF(ISBLANK(M35),"",M35*VLOOKUP($F35,Internal!$B$26:$C$32,2,FALSE))</f>
        <v/>
      </c>
      <c r="P35" s="40"/>
    </row>
    <row r="36" ht="14.25" spans="2:16">
      <c r="B36" s="38">
        <v>26</v>
      </c>
      <c r="C36" s="39" t="str">
        <f>IF(ISBLANK(D36),"",_xlfn.CONCAT("T",TEXT(B36,"0000"),"/",VLOOKUP(D36,Internal!$B$35:C$39,2,FALSE),IF(OR(D36="QA",D36="Revision"),_xlfn.CONCAT("/",H36),"")))</f>
        <v/>
      </c>
      <c r="D36" s="40"/>
      <c r="E36" s="41"/>
      <c r="F36" s="41"/>
      <c r="G36" s="40"/>
      <c r="H36" s="41"/>
      <c r="I36" s="45"/>
      <c r="J36" s="45"/>
      <c r="K36" s="46" t="str">
        <f ca="1" t="shared" si="0"/>
        <v/>
      </c>
      <c r="L36" s="47"/>
      <c r="M36" s="47"/>
      <c r="N36" s="46" t="str">
        <f>IF(ISBLANK(L36),"",L36*VLOOKUP($F36,Internal!$B$26:$C$32,2,FALSE))</f>
        <v/>
      </c>
      <c r="O36" s="46" t="str">
        <f>IF(ISBLANK(M36),"",M36*VLOOKUP($F36,Internal!$B$26:$C$32,2,FALSE))</f>
        <v/>
      </c>
      <c r="P36" s="40"/>
    </row>
    <row r="37" ht="14.25" spans="2:16">
      <c r="B37" s="38">
        <v>27</v>
      </c>
      <c r="C37" s="39" t="str">
        <f>IF(ISBLANK(D37),"",_xlfn.CONCAT("T",TEXT(B37,"0000"),"/",VLOOKUP(D37,Internal!$B$35:C$39,2,FALSE),IF(OR(D37="QA",D37="Revision"),_xlfn.CONCAT("/",H37),"")))</f>
        <v/>
      </c>
      <c r="D37" s="40"/>
      <c r="E37" s="41"/>
      <c r="F37" s="41"/>
      <c r="G37" s="40"/>
      <c r="H37" s="41"/>
      <c r="I37" s="45"/>
      <c r="J37" s="45"/>
      <c r="K37" s="46" t="str">
        <f ca="1" t="shared" si="0"/>
        <v/>
      </c>
      <c r="L37" s="47"/>
      <c r="M37" s="47"/>
      <c r="N37" s="46" t="str">
        <f>IF(ISBLANK(L37),"",L37*VLOOKUP($F37,Internal!$B$26:$C$32,2,FALSE))</f>
        <v/>
      </c>
      <c r="O37" s="46" t="str">
        <f>IF(ISBLANK(M37),"",M37*VLOOKUP($F37,Internal!$B$26:$C$32,2,FALSE))</f>
        <v/>
      </c>
      <c r="P37" s="40"/>
    </row>
    <row r="38" ht="14.25" spans="2:16">
      <c r="B38" s="38">
        <v>28</v>
      </c>
      <c r="C38" s="39" t="str">
        <f>IF(ISBLANK(D38),"",_xlfn.CONCAT("T",TEXT(B38,"0000"),"/",VLOOKUP(D38,Internal!$B$35:C$39,2,FALSE),IF(OR(D38="QA",D38="Revision"),_xlfn.CONCAT("/",H38),"")))</f>
        <v/>
      </c>
      <c r="D38" s="40"/>
      <c r="E38" s="41"/>
      <c r="F38" s="41"/>
      <c r="G38" s="40"/>
      <c r="H38" s="41"/>
      <c r="I38" s="45"/>
      <c r="J38" s="45"/>
      <c r="K38" s="46" t="str">
        <f ca="1" t="shared" si="0"/>
        <v/>
      </c>
      <c r="L38" s="47"/>
      <c r="M38" s="47"/>
      <c r="N38" s="46" t="str">
        <f>IF(ISBLANK(L38),"",L38*VLOOKUP($F38,Internal!$B$26:$C$32,2,FALSE))</f>
        <v/>
      </c>
      <c r="O38" s="46" t="str">
        <f>IF(ISBLANK(M38),"",M38*VLOOKUP($F38,Internal!$B$26:$C$32,2,FALSE))</f>
        <v/>
      </c>
      <c r="P38" s="40"/>
    </row>
    <row r="39" ht="14.25" spans="2:16">
      <c r="B39" s="38">
        <v>29</v>
      </c>
      <c r="C39" s="39" t="str">
        <f>IF(ISBLANK(D39),"",_xlfn.CONCAT("T",TEXT(B39,"0000"),"/",VLOOKUP(D39,Internal!$B$35:C$39,2,FALSE),IF(OR(D39="QA",D39="Revision"),_xlfn.CONCAT("/",H39),"")))</f>
        <v/>
      </c>
      <c r="D39" s="40"/>
      <c r="E39" s="41"/>
      <c r="F39" s="41"/>
      <c r="G39" s="40"/>
      <c r="H39" s="41"/>
      <c r="I39" s="45"/>
      <c r="J39" s="45"/>
      <c r="K39" s="46" t="str">
        <f ca="1" t="shared" si="0"/>
        <v/>
      </c>
      <c r="L39" s="47"/>
      <c r="M39" s="47"/>
      <c r="N39" s="46" t="str">
        <f>IF(ISBLANK(L39),"",L39*VLOOKUP($F39,Internal!$B$26:$C$32,2,FALSE))</f>
        <v/>
      </c>
      <c r="O39" s="46" t="str">
        <f>IF(ISBLANK(M39),"",M39*VLOOKUP($F39,Internal!$B$26:$C$32,2,FALSE))</f>
        <v/>
      </c>
      <c r="P39" s="40"/>
    </row>
    <row r="40" ht="14.25" spans="2:16">
      <c r="B40" s="38">
        <v>30</v>
      </c>
      <c r="C40" s="39" t="str">
        <f>IF(ISBLANK(D40),"",_xlfn.CONCAT("T",TEXT(B40,"0000"),"/",VLOOKUP(D40,Internal!$B$35:C$39,2,FALSE),IF(OR(D40="QA",D40="Revision"),_xlfn.CONCAT("/",H40),"")))</f>
        <v/>
      </c>
      <c r="D40" s="40"/>
      <c r="E40" s="41"/>
      <c r="F40" s="41"/>
      <c r="G40" s="40"/>
      <c r="H40" s="41"/>
      <c r="I40" s="45"/>
      <c r="J40" s="45"/>
      <c r="K40" s="46" t="str">
        <f ca="1" t="shared" si="0"/>
        <v/>
      </c>
      <c r="L40" s="47"/>
      <c r="M40" s="47"/>
      <c r="N40" s="46" t="str">
        <f>IF(ISBLANK(L40),"",L40*VLOOKUP($F40,Internal!$B$26:$C$32,2,FALSE))</f>
        <v/>
      </c>
      <c r="O40" s="46" t="str">
        <f>IF(ISBLANK(M40),"",M40*VLOOKUP($F40,Internal!$B$26:$C$32,2,FALSE))</f>
        <v/>
      </c>
      <c r="P40" s="40"/>
    </row>
    <row r="41" ht="14.25" spans="2:16">
      <c r="B41" s="38">
        <v>31</v>
      </c>
      <c r="C41" s="39" t="str">
        <f>IF(ISBLANK(D41),"",_xlfn.CONCAT("T",TEXT(B41,"0000"),"/",VLOOKUP(D41,Internal!$B$35:C$39,2,FALSE),IF(OR(D41="QA",D41="Revision"),_xlfn.CONCAT("/",H41),"")))</f>
        <v/>
      </c>
      <c r="D41" s="40"/>
      <c r="E41" s="41"/>
      <c r="F41" s="41"/>
      <c r="G41" s="40"/>
      <c r="H41" s="41"/>
      <c r="I41" s="45"/>
      <c r="J41" s="45"/>
      <c r="K41" s="46" t="str">
        <f ca="1" t="shared" si="0"/>
        <v/>
      </c>
      <c r="L41" s="47"/>
      <c r="M41" s="47"/>
      <c r="N41" s="46" t="str">
        <f>IF(ISBLANK(L41),"",L41*VLOOKUP($F41,Internal!$B$26:$C$32,2,FALSE))</f>
        <v/>
      </c>
      <c r="O41" s="46" t="str">
        <f>IF(ISBLANK(M41),"",M41*VLOOKUP($F41,Internal!$B$26:$C$32,2,FALSE))</f>
        <v/>
      </c>
      <c r="P41" s="40"/>
    </row>
    <row r="42" ht="14.25" spans="2:16">
      <c r="B42" s="38">
        <v>32</v>
      </c>
      <c r="C42" s="39" t="str">
        <f>IF(ISBLANK(D42),"",_xlfn.CONCAT("T",TEXT(B42,"0000"),"/",VLOOKUP(D42,Internal!$B$35:C$39,2,FALSE),IF(OR(D42="QA",D42="Revision"),_xlfn.CONCAT("/",H42),"")))</f>
        <v/>
      </c>
      <c r="D42" s="40"/>
      <c r="E42" s="41"/>
      <c r="F42" s="41"/>
      <c r="G42" s="40"/>
      <c r="H42" s="41"/>
      <c r="I42" s="45"/>
      <c r="J42" s="45"/>
      <c r="K42" s="46" t="str">
        <f ca="1" t="shared" si="0"/>
        <v/>
      </c>
      <c r="L42" s="47"/>
      <c r="M42" s="47"/>
      <c r="N42" s="46" t="str">
        <f>IF(ISBLANK(L42),"",L42*VLOOKUP($F42,Internal!$B$26:$C$32,2,FALSE))</f>
        <v/>
      </c>
      <c r="O42" s="46" t="str">
        <f>IF(ISBLANK(M42),"",M42*VLOOKUP($F42,Internal!$B$26:$C$32,2,FALSE))</f>
        <v/>
      </c>
      <c r="P42" s="40"/>
    </row>
    <row r="43" ht="14.25" spans="2:16">
      <c r="B43" s="38">
        <v>33</v>
      </c>
      <c r="C43" s="39" t="str">
        <f>IF(ISBLANK(D43),"",_xlfn.CONCAT("T",TEXT(B43,"0000"),"/",VLOOKUP(D43,Internal!$B$35:C$39,2,FALSE),IF(OR(D43="QA",D43="Revision"),_xlfn.CONCAT("/",H43),"")))</f>
        <v/>
      </c>
      <c r="D43" s="40"/>
      <c r="E43" s="41"/>
      <c r="F43" s="41"/>
      <c r="G43" s="40"/>
      <c r="H43" s="41"/>
      <c r="I43" s="45"/>
      <c r="J43" s="45"/>
      <c r="K43" s="46" t="str">
        <f ca="1" t="shared" si="0"/>
        <v/>
      </c>
      <c r="L43" s="47"/>
      <c r="M43" s="47"/>
      <c r="N43" s="46" t="str">
        <f>IF(ISBLANK(L43),"",L43*VLOOKUP($F43,Internal!$B$26:$C$32,2,FALSE))</f>
        <v/>
      </c>
      <c r="O43" s="46" t="str">
        <f>IF(ISBLANK(M43),"",M43*VLOOKUP($F43,Internal!$B$26:$C$32,2,FALSE))</f>
        <v/>
      </c>
      <c r="P43" s="40"/>
    </row>
    <row r="44" ht="14.25" spans="2:16">
      <c r="B44" s="38">
        <v>34</v>
      </c>
      <c r="C44" s="39" t="str">
        <f>IF(ISBLANK(D44),"",_xlfn.CONCAT("T",TEXT(B44,"0000"),"/",VLOOKUP(D44,Internal!$B$35:C$39,2,FALSE),IF(OR(D44="QA",D44="Revision"),_xlfn.CONCAT("/",H44),"")))</f>
        <v/>
      </c>
      <c r="D44" s="40"/>
      <c r="E44" s="41"/>
      <c r="F44" s="41"/>
      <c r="G44" s="40"/>
      <c r="H44" s="41"/>
      <c r="I44" s="45"/>
      <c r="J44" s="45"/>
      <c r="K44" s="46" t="str">
        <f ca="1" t="shared" si="0"/>
        <v/>
      </c>
      <c r="L44" s="47"/>
      <c r="M44" s="47"/>
      <c r="N44" s="46" t="str">
        <f>IF(ISBLANK(L44),"",L44*VLOOKUP($F44,Internal!$B$26:$C$32,2,FALSE))</f>
        <v/>
      </c>
      <c r="O44" s="46" t="str">
        <f>IF(ISBLANK(M44),"",M44*VLOOKUP($F44,Internal!$B$26:$C$32,2,FALSE))</f>
        <v/>
      </c>
      <c r="P44" s="40"/>
    </row>
    <row r="45" ht="14.25" spans="2:16">
      <c r="B45" s="38">
        <v>35</v>
      </c>
      <c r="C45" s="39" t="str">
        <f>IF(ISBLANK(D45),"",_xlfn.CONCAT("T",TEXT(B45,"0000"),"/",VLOOKUP(D45,Internal!$B$35:C$39,2,FALSE),IF(OR(D45="QA",D45="Revision"),_xlfn.CONCAT("/",H45),"")))</f>
        <v/>
      </c>
      <c r="D45" s="40"/>
      <c r="E45" s="41"/>
      <c r="F45" s="41"/>
      <c r="G45" s="40"/>
      <c r="H45" s="41"/>
      <c r="I45" s="45"/>
      <c r="J45" s="45"/>
      <c r="K45" s="46" t="str">
        <f ca="1" t="shared" si="0"/>
        <v/>
      </c>
      <c r="L45" s="47"/>
      <c r="M45" s="47"/>
      <c r="N45" s="46" t="str">
        <f>IF(ISBLANK(L45),"",L45*VLOOKUP($F45,Internal!$B$26:$C$32,2,FALSE))</f>
        <v/>
      </c>
      <c r="O45" s="46" t="str">
        <f>IF(ISBLANK(M45),"",M45*VLOOKUP($F45,Internal!$B$26:$C$32,2,FALSE))</f>
        <v/>
      </c>
      <c r="P45" s="40"/>
    </row>
    <row r="46" ht="14.25" spans="2:16">
      <c r="B46" s="38">
        <v>36</v>
      </c>
      <c r="C46" s="39" t="str">
        <f>IF(ISBLANK(D46),"",_xlfn.CONCAT("T",TEXT(B46,"0000"),"/",VLOOKUP(D46,Internal!$B$35:C$39,2,FALSE),IF(OR(D46="QA",D46="Revision"),_xlfn.CONCAT("/",H46),"")))</f>
        <v/>
      </c>
      <c r="D46" s="40"/>
      <c r="E46" s="41"/>
      <c r="F46" s="41"/>
      <c r="G46" s="40"/>
      <c r="H46" s="41"/>
      <c r="I46" s="45"/>
      <c r="J46" s="45"/>
      <c r="K46" s="46" t="str">
        <f ca="1" t="shared" si="0"/>
        <v/>
      </c>
      <c r="L46" s="47"/>
      <c r="M46" s="47"/>
      <c r="N46" s="46" t="str">
        <f>IF(ISBLANK(L46),"",L46*VLOOKUP($F46,Internal!$B$26:$C$32,2,FALSE))</f>
        <v/>
      </c>
      <c r="O46" s="46" t="str">
        <f>IF(ISBLANK(M46),"",M46*VLOOKUP($F46,Internal!$B$26:$C$32,2,FALSE))</f>
        <v/>
      </c>
      <c r="P46" s="40"/>
    </row>
    <row r="47" ht="14.25" spans="2:16">
      <c r="B47" s="38">
        <v>37</v>
      </c>
      <c r="C47" s="39" t="str">
        <f>IF(ISBLANK(D47),"",_xlfn.CONCAT("T",TEXT(B47,"0000"),"/",VLOOKUP(D47,Internal!$B$35:C$39,2,FALSE),IF(OR(D47="QA",D47="Revision"),_xlfn.CONCAT("/",H47),"")))</f>
        <v/>
      </c>
      <c r="D47" s="40"/>
      <c r="E47" s="41"/>
      <c r="F47" s="41"/>
      <c r="G47" s="40"/>
      <c r="H47" s="41"/>
      <c r="I47" s="45"/>
      <c r="J47" s="45"/>
      <c r="K47" s="46" t="str">
        <f ca="1" t="shared" si="0"/>
        <v/>
      </c>
      <c r="L47" s="47"/>
      <c r="M47" s="47"/>
      <c r="N47" s="46" t="str">
        <f>IF(ISBLANK(L47),"",L47*VLOOKUP($F47,Internal!$B$26:$C$32,2,FALSE))</f>
        <v/>
      </c>
      <c r="O47" s="46" t="str">
        <f>IF(ISBLANK(M47),"",M47*VLOOKUP($F47,Internal!$B$26:$C$32,2,FALSE))</f>
        <v/>
      </c>
      <c r="P47" s="40"/>
    </row>
    <row r="48" ht="14.25" spans="2:16">
      <c r="B48" s="38">
        <v>38</v>
      </c>
      <c r="C48" s="39" t="str">
        <f>IF(ISBLANK(D48),"",_xlfn.CONCAT("T",TEXT(B48,"0000"),"/",VLOOKUP(D48,Internal!$B$35:C$39,2,FALSE),IF(OR(D48="QA",D48="Revision"),_xlfn.CONCAT("/",H48),"")))</f>
        <v/>
      </c>
      <c r="D48" s="40"/>
      <c r="E48" s="41"/>
      <c r="F48" s="41"/>
      <c r="G48" s="40"/>
      <c r="H48" s="41"/>
      <c r="I48" s="45"/>
      <c r="J48" s="45"/>
      <c r="K48" s="46" t="str">
        <f ca="1" t="shared" si="0"/>
        <v/>
      </c>
      <c r="L48" s="47"/>
      <c r="M48" s="47"/>
      <c r="N48" s="46" t="str">
        <f>IF(ISBLANK(L48),"",L48*VLOOKUP($F48,Internal!$B$26:$C$32,2,FALSE))</f>
        <v/>
      </c>
      <c r="O48" s="46" t="str">
        <f>IF(ISBLANK(M48),"",M48*VLOOKUP($F48,Internal!$B$26:$C$32,2,FALSE))</f>
        <v/>
      </c>
      <c r="P48" s="40"/>
    </row>
    <row r="49" ht="14.25" spans="2:16">
      <c r="B49" s="38">
        <v>39</v>
      </c>
      <c r="C49" s="39" t="str">
        <f>IF(ISBLANK(D49),"",_xlfn.CONCAT("T",TEXT(B49,"0000"),"/",VLOOKUP(D49,Internal!$B$35:C$39,2,FALSE),IF(OR(D49="QA",D49="Revision"),_xlfn.CONCAT("/",H49),"")))</f>
        <v/>
      </c>
      <c r="D49" s="40"/>
      <c r="E49" s="41"/>
      <c r="F49" s="41"/>
      <c r="G49" s="40"/>
      <c r="H49" s="41"/>
      <c r="I49" s="45"/>
      <c r="J49" s="45"/>
      <c r="K49" s="46" t="str">
        <f ca="1" t="shared" si="0"/>
        <v/>
      </c>
      <c r="L49" s="47"/>
      <c r="M49" s="47"/>
      <c r="N49" s="46" t="str">
        <f>IF(ISBLANK(L49),"",L49*VLOOKUP($F49,Internal!$B$26:$C$32,2,FALSE))</f>
        <v/>
      </c>
      <c r="O49" s="46" t="str">
        <f>IF(ISBLANK(M49),"",M49*VLOOKUP($F49,Internal!$B$26:$C$32,2,FALSE))</f>
        <v/>
      </c>
      <c r="P49" s="40"/>
    </row>
    <row r="50" ht="14.25" spans="2:16">
      <c r="B50" s="38">
        <v>40</v>
      </c>
      <c r="C50" s="39" t="str">
        <f>IF(ISBLANK(D50),"",_xlfn.CONCAT("T",TEXT(B50,"0000"),"/",VLOOKUP(D50,Internal!$B$35:C$39,2,FALSE),IF(OR(D50="QA",D50="Revision"),_xlfn.CONCAT("/",H50),"")))</f>
        <v/>
      </c>
      <c r="D50" s="40"/>
      <c r="E50" s="41"/>
      <c r="F50" s="41"/>
      <c r="G50" s="40"/>
      <c r="H50" s="41"/>
      <c r="I50" s="45"/>
      <c r="J50" s="45"/>
      <c r="K50" s="46" t="str">
        <f ca="1" t="shared" si="0"/>
        <v/>
      </c>
      <c r="L50" s="47"/>
      <c r="M50" s="47"/>
      <c r="N50" s="46" t="str">
        <f>IF(ISBLANK(L50),"",L50*VLOOKUP($F50,Internal!$B$26:$C$32,2,FALSE))</f>
        <v/>
      </c>
      <c r="O50" s="46" t="str">
        <f>IF(ISBLANK(M50),"",M50*VLOOKUP($F50,Internal!$B$26:$C$32,2,FALSE))</f>
        <v/>
      </c>
      <c r="P50" s="40"/>
    </row>
    <row r="51" ht="14.25" spans="2:16">
      <c r="B51" s="38">
        <v>41</v>
      </c>
      <c r="C51" s="39" t="str">
        <f>IF(ISBLANK(D51),"",_xlfn.CONCAT("T",TEXT(B51,"0000"),"/",VLOOKUP(D51,Internal!$B$35:C$39,2,FALSE),IF(OR(D51="QA",D51="Revision"),_xlfn.CONCAT("/",H51),"")))</f>
        <v/>
      </c>
      <c r="D51" s="40"/>
      <c r="E51" s="41"/>
      <c r="F51" s="41"/>
      <c r="G51" s="40"/>
      <c r="H51" s="41"/>
      <c r="I51" s="45"/>
      <c r="J51" s="45"/>
      <c r="K51" s="46" t="str">
        <f ca="1" t="shared" si="0"/>
        <v/>
      </c>
      <c r="L51" s="47"/>
      <c r="M51" s="47"/>
      <c r="N51" s="46" t="str">
        <f>IF(ISBLANK(L51),"",L51*VLOOKUP($F51,Internal!$B$26:$C$32,2,FALSE))</f>
        <v/>
      </c>
      <c r="O51" s="46" t="str">
        <f>IF(ISBLANK(M51),"",M51*VLOOKUP($F51,Internal!$B$26:$C$32,2,FALSE))</f>
        <v/>
      </c>
      <c r="P51" s="40"/>
    </row>
    <row r="52" ht="14.25" spans="2:16">
      <c r="B52" s="38">
        <v>42</v>
      </c>
      <c r="C52" s="39" t="str">
        <f>IF(ISBLANK(D52),"",_xlfn.CONCAT("T",TEXT(B52,"0000"),"/",VLOOKUP(D52,Internal!$B$35:C$39,2,FALSE),IF(OR(D52="QA",D52="Revision"),_xlfn.CONCAT("/",H52),"")))</f>
        <v/>
      </c>
      <c r="D52" s="40"/>
      <c r="E52" s="41"/>
      <c r="F52" s="41"/>
      <c r="G52" s="40"/>
      <c r="H52" s="41"/>
      <c r="I52" s="45"/>
      <c r="J52" s="45"/>
      <c r="K52" s="46" t="str">
        <f ca="1" t="shared" si="0"/>
        <v/>
      </c>
      <c r="L52" s="47"/>
      <c r="M52" s="47"/>
      <c r="N52" s="46" t="str">
        <f>IF(ISBLANK(L52),"",L52*VLOOKUP($F52,Internal!$B$26:$C$32,2,FALSE))</f>
        <v/>
      </c>
      <c r="O52" s="46" t="str">
        <f>IF(ISBLANK(M52),"",M52*VLOOKUP($F52,Internal!$B$26:$C$32,2,FALSE))</f>
        <v/>
      </c>
      <c r="P52" s="40"/>
    </row>
    <row r="53" ht="14.25" spans="2:16">
      <c r="B53" s="38">
        <v>43</v>
      </c>
      <c r="C53" s="39" t="str">
        <f>IF(ISBLANK(D53),"",_xlfn.CONCAT("T",TEXT(B53,"0000"),"/",VLOOKUP(D53,Internal!$B$35:C$39,2,FALSE),IF(OR(D53="QA",D53="Revision"),_xlfn.CONCAT("/",H53),"")))</f>
        <v/>
      </c>
      <c r="D53" s="40"/>
      <c r="E53" s="41"/>
      <c r="F53" s="41"/>
      <c r="G53" s="40"/>
      <c r="H53" s="41"/>
      <c r="I53" s="45"/>
      <c r="J53" s="45"/>
      <c r="K53" s="46" t="str">
        <f ca="1" t="shared" si="0"/>
        <v/>
      </c>
      <c r="L53" s="47"/>
      <c r="M53" s="47"/>
      <c r="N53" s="46" t="str">
        <f>IF(ISBLANK(L53),"",L53*VLOOKUP($F53,Internal!$B$26:$C$32,2,FALSE))</f>
        <v/>
      </c>
      <c r="O53" s="46" t="str">
        <f>IF(ISBLANK(M53),"",M53*VLOOKUP($F53,Internal!$B$26:$C$32,2,FALSE))</f>
        <v/>
      </c>
      <c r="P53" s="40"/>
    </row>
    <row r="54" ht="14.25" spans="2:16">
      <c r="B54" s="38">
        <v>44</v>
      </c>
      <c r="C54" s="39" t="str">
        <f>IF(ISBLANK(D54),"",_xlfn.CONCAT("T",TEXT(B54,"0000"),"/",VLOOKUP(D54,Internal!$B$35:C$39,2,FALSE),IF(OR(D54="QA",D54="Revision"),_xlfn.CONCAT("/",H54),"")))</f>
        <v/>
      </c>
      <c r="D54" s="40"/>
      <c r="E54" s="41"/>
      <c r="F54" s="41"/>
      <c r="G54" s="40"/>
      <c r="H54" s="41"/>
      <c r="I54" s="45"/>
      <c r="J54" s="45"/>
      <c r="K54" s="46" t="str">
        <f ca="1" t="shared" si="0"/>
        <v/>
      </c>
      <c r="L54" s="47"/>
      <c r="M54" s="47"/>
      <c r="N54" s="46" t="str">
        <f>IF(ISBLANK(L54),"",L54*VLOOKUP($F54,Internal!$B$26:$C$32,2,FALSE))</f>
        <v/>
      </c>
      <c r="O54" s="46" t="str">
        <f>IF(ISBLANK(M54),"",M54*VLOOKUP($F54,Internal!$B$26:$C$32,2,FALSE))</f>
        <v/>
      </c>
      <c r="P54" s="40"/>
    </row>
    <row r="55" ht="14.25" spans="2:16">
      <c r="B55" s="38">
        <v>45</v>
      </c>
      <c r="C55" s="39" t="str">
        <f>IF(ISBLANK(D55),"",_xlfn.CONCAT("T",TEXT(B55,"0000"),"/",VLOOKUP(D55,Internal!$B$35:C$39,2,FALSE),IF(OR(D55="QA",D55="Revision"),_xlfn.CONCAT("/",H55),"")))</f>
        <v/>
      </c>
      <c r="D55" s="40"/>
      <c r="E55" s="41"/>
      <c r="F55" s="41"/>
      <c r="G55" s="40"/>
      <c r="H55" s="41"/>
      <c r="I55" s="45"/>
      <c r="J55" s="45"/>
      <c r="K55" s="46" t="str">
        <f ca="1" t="shared" si="0"/>
        <v/>
      </c>
      <c r="L55" s="47"/>
      <c r="M55" s="47"/>
      <c r="N55" s="46" t="str">
        <f>IF(ISBLANK(L55),"",L55*VLOOKUP($F55,Internal!$B$26:$C$32,2,FALSE))</f>
        <v/>
      </c>
      <c r="O55" s="46" t="str">
        <f>IF(ISBLANK(M55),"",M55*VLOOKUP($F55,Internal!$B$26:$C$32,2,FALSE))</f>
        <v/>
      </c>
      <c r="P55" s="40"/>
    </row>
    <row r="56" ht="14.25" spans="2:16">
      <c r="B56" s="38">
        <v>46</v>
      </c>
      <c r="C56" s="39" t="str">
        <f>IF(ISBLANK(D56),"",_xlfn.CONCAT("T",TEXT(B56,"0000"),"/",VLOOKUP(D56,Internal!$B$35:C$39,2,FALSE),IF(OR(D56="QA",D56="Revision"),_xlfn.CONCAT("/",H56),"")))</f>
        <v/>
      </c>
      <c r="D56" s="40"/>
      <c r="E56" s="41"/>
      <c r="F56" s="41"/>
      <c r="G56" s="40"/>
      <c r="H56" s="41"/>
      <c r="I56" s="45"/>
      <c r="J56" s="45"/>
      <c r="K56" s="46" t="str">
        <f ca="1" t="shared" si="0"/>
        <v/>
      </c>
      <c r="L56" s="47"/>
      <c r="M56" s="47"/>
      <c r="N56" s="46" t="str">
        <f>IF(ISBLANK(L56),"",L56*VLOOKUP($F56,Internal!$B$26:$C$32,2,FALSE))</f>
        <v/>
      </c>
      <c r="O56" s="46" t="str">
        <f>IF(ISBLANK(M56),"",M56*VLOOKUP($F56,Internal!$B$26:$C$32,2,FALSE))</f>
        <v/>
      </c>
      <c r="P56" s="40"/>
    </row>
    <row r="57" ht="14.25" spans="2:16">
      <c r="B57" s="38">
        <v>47</v>
      </c>
      <c r="C57" s="39" t="str">
        <f>IF(ISBLANK(D57),"",_xlfn.CONCAT("T",TEXT(B57,"0000"),"/",VLOOKUP(D57,Internal!$B$35:C$39,2,FALSE),IF(OR(D57="QA",D57="Revision"),_xlfn.CONCAT("/",H57),"")))</f>
        <v/>
      </c>
      <c r="D57" s="40"/>
      <c r="E57" s="41"/>
      <c r="F57" s="41"/>
      <c r="G57" s="40"/>
      <c r="H57" s="41"/>
      <c r="I57" s="45"/>
      <c r="J57" s="45"/>
      <c r="K57" s="46" t="str">
        <f ca="1" t="shared" si="0"/>
        <v/>
      </c>
      <c r="L57" s="47"/>
      <c r="M57" s="47"/>
      <c r="N57" s="46" t="str">
        <f>IF(ISBLANK(L57),"",L57*VLOOKUP($F57,Internal!$B$26:$C$32,2,FALSE))</f>
        <v/>
      </c>
      <c r="O57" s="46" t="str">
        <f>IF(ISBLANK(M57),"",M57*VLOOKUP($F57,Internal!$B$26:$C$32,2,FALSE))</f>
        <v/>
      </c>
      <c r="P57" s="40"/>
    </row>
    <row r="58" ht="14.25" spans="2:16">
      <c r="B58" s="38">
        <v>48</v>
      </c>
      <c r="C58" s="39" t="str">
        <f>IF(ISBLANK(D58),"",_xlfn.CONCAT("T",TEXT(B58,"0000"),"/",VLOOKUP(D58,Internal!$B$35:C$39,2,FALSE),IF(OR(D58="QA",D58="Revision"),_xlfn.CONCAT("/",H58),"")))</f>
        <v/>
      </c>
      <c r="D58" s="40"/>
      <c r="E58" s="41"/>
      <c r="F58" s="41"/>
      <c r="G58" s="40"/>
      <c r="H58" s="41"/>
      <c r="I58" s="45"/>
      <c r="J58" s="45"/>
      <c r="K58" s="46" t="str">
        <f ca="1" t="shared" si="0"/>
        <v/>
      </c>
      <c r="L58" s="47"/>
      <c r="M58" s="47"/>
      <c r="N58" s="46" t="str">
        <f>IF(ISBLANK(L58),"",L58*VLOOKUP($F58,Internal!$B$26:$C$32,2,FALSE))</f>
        <v/>
      </c>
      <c r="O58" s="46" t="str">
        <f>IF(ISBLANK(M58),"",M58*VLOOKUP($F58,Internal!$B$26:$C$32,2,FALSE))</f>
        <v/>
      </c>
      <c r="P58" s="40"/>
    </row>
    <row r="59" ht="14.25" spans="2:16">
      <c r="B59" s="38">
        <v>49</v>
      </c>
      <c r="C59" s="39" t="str">
        <f>IF(ISBLANK(D59),"",_xlfn.CONCAT("T",TEXT(B59,"0000"),"/",VLOOKUP(D59,Internal!$B$35:C$39,2,FALSE),IF(OR(D59="QA",D59="Revision"),_xlfn.CONCAT("/",H59),"")))</f>
        <v/>
      </c>
      <c r="D59" s="40"/>
      <c r="E59" s="41"/>
      <c r="F59" s="41"/>
      <c r="G59" s="40"/>
      <c r="H59" s="41"/>
      <c r="I59" s="45"/>
      <c r="J59" s="45"/>
      <c r="K59" s="46" t="str">
        <f ca="1" t="shared" si="0"/>
        <v/>
      </c>
      <c r="L59" s="47"/>
      <c r="M59" s="47"/>
      <c r="N59" s="46" t="str">
        <f>IF(ISBLANK(L59),"",L59*VLOOKUP($F59,Internal!$B$26:$C$32,2,FALSE))</f>
        <v/>
      </c>
      <c r="O59" s="46" t="str">
        <f>IF(ISBLANK(M59),"",M59*VLOOKUP($F59,Internal!$B$26:$C$32,2,FALSE))</f>
        <v/>
      </c>
      <c r="P59" s="40"/>
    </row>
    <row r="60" ht="14.25" spans="2:16">
      <c r="B60" s="38">
        <v>50</v>
      </c>
      <c r="C60" s="39" t="str">
        <f>IF(ISBLANK(D60),"",_xlfn.CONCAT("T",TEXT(B60,"0000"),"/",VLOOKUP(D60,Internal!$B$35:C$39,2,FALSE),IF(OR(D60="QA",D60="Revision"),_xlfn.CONCAT("/",H60),"")))</f>
        <v/>
      </c>
      <c r="D60" s="40"/>
      <c r="E60" s="41"/>
      <c r="F60" s="41"/>
      <c r="G60" s="40"/>
      <c r="H60" s="41"/>
      <c r="I60" s="45"/>
      <c r="J60" s="45"/>
      <c r="K60" s="46" t="str">
        <f ca="1" t="shared" si="0"/>
        <v/>
      </c>
      <c r="L60" s="47"/>
      <c r="M60" s="47"/>
      <c r="N60" s="46" t="str">
        <f>IF(ISBLANK(L60),"",L60*VLOOKUP($F60,Internal!$B$26:$C$32,2,FALSE))</f>
        <v/>
      </c>
      <c r="O60" s="46" t="str">
        <f>IF(ISBLANK(M60),"",M60*VLOOKUP($F60,Internal!$B$26:$C$32,2,FALSE))</f>
        <v/>
      </c>
      <c r="P60" s="40"/>
    </row>
    <row r="61" ht="14.25" spans="2:16">
      <c r="B61" s="38">
        <v>51</v>
      </c>
      <c r="C61" s="39" t="str">
        <f>IF(ISBLANK(D61),"",_xlfn.CONCAT("T",TEXT(B61,"0000"),"/",VLOOKUP(D61,Internal!$B$35:C$39,2,FALSE),IF(OR(D61="QA",D61="Revision"),_xlfn.CONCAT("/",H61),"")))</f>
        <v/>
      </c>
      <c r="D61" s="40"/>
      <c r="E61" s="41"/>
      <c r="F61" s="41"/>
      <c r="G61" s="40"/>
      <c r="H61" s="41"/>
      <c r="I61" s="45"/>
      <c r="J61" s="45"/>
      <c r="K61" s="46" t="str">
        <f ca="1" t="shared" si="0"/>
        <v/>
      </c>
      <c r="L61" s="47"/>
      <c r="M61" s="47"/>
      <c r="N61" s="46" t="str">
        <f>IF(ISBLANK(L61),"",L61*VLOOKUP($F61,Internal!$B$26:$C$32,2,FALSE))</f>
        <v/>
      </c>
      <c r="O61" s="46" t="str">
        <f>IF(ISBLANK(M61),"",M61*VLOOKUP($F61,Internal!$B$26:$C$32,2,FALSE))</f>
        <v/>
      </c>
      <c r="P61" s="40"/>
    </row>
    <row r="62" ht="14.25" spans="2:16">
      <c r="B62" s="38">
        <v>52</v>
      </c>
      <c r="C62" s="39" t="str">
        <f>IF(ISBLANK(D62),"",_xlfn.CONCAT("T",TEXT(B62,"0000"),"/",VLOOKUP(D62,Internal!$B$35:C$39,2,FALSE),IF(OR(D62="QA",D62="Revision"),_xlfn.CONCAT("/",H62),"")))</f>
        <v/>
      </c>
      <c r="D62" s="40"/>
      <c r="E62" s="41"/>
      <c r="F62" s="41"/>
      <c r="G62" s="40"/>
      <c r="H62" s="41"/>
      <c r="I62" s="45"/>
      <c r="J62" s="45"/>
      <c r="K62" s="46" t="str">
        <f ca="1" t="shared" si="0"/>
        <v/>
      </c>
      <c r="L62" s="47"/>
      <c r="M62" s="47"/>
      <c r="N62" s="46" t="str">
        <f>IF(ISBLANK(L62),"",L62*VLOOKUP($F62,Internal!$B$26:$C$32,2,FALSE))</f>
        <v/>
      </c>
      <c r="O62" s="46" t="str">
        <f>IF(ISBLANK(M62),"",M62*VLOOKUP($F62,Internal!$B$26:$C$32,2,FALSE))</f>
        <v/>
      </c>
      <c r="P62" s="40"/>
    </row>
    <row r="63" ht="14.25" spans="2:16">
      <c r="B63" s="38">
        <v>53</v>
      </c>
      <c r="C63" s="39" t="str">
        <f>IF(ISBLANK(D63),"",_xlfn.CONCAT("T",TEXT(B63,"0000"),"/",VLOOKUP(D63,Internal!$B$35:C$39,2,FALSE),IF(OR(D63="QA",D63="Revision"),_xlfn.CONCAT("/",H63),"")))</f>
        <v/>
      </c>
      <c r="D63" s="40"/>
      <c r="E63" s="41"/>
      <c r="F63" s="41"/>
      <c r="G63" s="40"/>
      <c r="H63" s="41"/>
      <c r="I63" s="45"/>
      <c r="J63" s="45"/>
      <c r="K63" s="46" t="str">
        <f ca="1" t="shared" si="0"/>
        <v/>
      </c>
      <c r="L63" s="47"/>
      <c r="M63" s="47"/>
      <c r="N63" s="46" t="str">
        <f>IF(ISBLANK(L63),"",L63*VLOOKUP($F63,Internal!$B$26:$C$32,2,FALSE))</f>
        <v/>
      </c>
      <c r="O63" s="46" t="str">
        <f>IF(ISBLANK(M63),"",M63*VLOOKUP($F63,Internal!$B$26:$C$32,2,FALSE))</f>
        <v/>
      </c>
      <c r="P63" s="40"/>
    </row>
    <row r="64" ht="14.25" spans="2:16">
      <c r="B64" s="38">
        <v>54</v>
      </c>
      <c r="C64" s="39" t="str">
        <f>IF(ISBLANK(D64),"",_xlfn.CONCAT("T",TEXT(B64,"0000"),"/",VLOOKUP(D64,Internal!$B$35:C$39,2,FALSE),IF(OR(D64="QA",D64="Revision"),_xlfn.CONCAT("/",H64),"")))</f>
        <v/>
      </c>
      <c r="D64" s="40"/>
      <c r="E64" s="41"/>
      <c r="F64" s="41"/>
      <c r="G64" s="40"/>
      <c r="H64" s="41"/>
      <c r="I64" s="45"/>
      <c r="J64" s="45"/>
      <c r="K64" s="46" t="str">
        <f ca="1" t="shared" si="0"/>
        <v/>
      </c>
      <c r="L64" s="47"/>
      <c r="M64" s="47"/>
      <c r="N64" s="46" t="str">
        <f>IF(ISBLANK(L64),"",L64*VLOOKUP($F64,Internal!$B$26:$C$32,2,FALSE))</f>
        <v/>
      </c>
      <c r="O64" s="46" t="str">
        <f>IF(ISBLANK(M64),"",M64*VLOOKUP($F64,Internal!$B$26:$C$32,2,FALSE))</f>
        <v/>
      </c>
      <c r="P64" s="40"/>
    </row>
    <row r="65" ht="14.25" spans="2:16">
      <c r="B65" s="38">
        <v>55</v>
      </c>
      <c r="C65" s="39" t="str">
        <f>IF(ISBLANK(D65),"",_xlfn.CONCAT("T",TEXT(B65,"0000"),"/",VLOOKUP(D65,Internal!$B$35:C$39,2,FALSE),IF(OR(D65="QA",D65="Revision"),_xlfn.CONCAT("/",H65),"")))</f>
        <v/>
      </c>
      <c r="D65" s="40"/>
      <c r="E65" s="41"/>
      <c r="F65" s="41"/>
      <c r="G65" s="40"/>
      <c r="H65" s="41"/>
      <c r="I65" s="45"/>
      <c r="J65" s="45"/>
      <c r="K65" s="46" t="str">
        <f ca="1" t="shared" si="0"/>
        <v/>
      </c>
      <c r="L65" s="47"/>
      <c r="M65" s="47"/>
      <c r="N65" s="46" t="str">
        <f>IF(ISBLANK(L65),"",L65*VLOOKUP($F65,Internal!$B$26:$C$32,2,FALSE))</f>
        <v/>
      </c>
      <c r="O65" s="46" t="str">
        <f>IF(ISBLANK(M65),"",M65*VLOOKUP($F65,Internal!$B$26:$C$32,2,FALSE))</f>
        <v/>
      </c>
      <c r="P65" s="40"/>
    </row>
    <row r="66" ht="14.25" spans="2:16">
      <c r="B66" s="38">
        <v>56</v>
      </c>
      <c r="C66" s="39" t="str">
        <f>IF(ISBLANK(D66),"",_xlfn.CONCAT("T",TEXT(B66,"0000"),"/",VLOOKUP(D66,Internal!$B$35:C$39,2,FALSE),IF(OR(D66="QA",D66="Revision"),_xlfn.CONCAT("/",H66),"")))</f>
        <v/>
      </c>
      <c r="D66" s="40"/>
      <c r="E66" s="41"/>
      <c r="F66" s="41"/>
      <c r="G66" s="40"/>
      <c r="H66" s="41"/>
      <c r="I66" s="45"/>
      <c r="J66" s="45"/>
      <c r="K66" s="46" t="str">
        <f ca="1" t="shared" si="0"/>
        <v/>
      </c>
      <c r="L66" s="47"/>
      <c r="M66" s="47"/>
      <c r="N66" s="46" t="str">
        <f>IF(ISBLANK(L66),"",L66*VLOOKUP($F66,Internal!$B$26:$C$32,2,FALSE))</f>
        <v/>
      </c>
      <c r="O66" s="46" t="str">
        <f>IF(ISBLANK(M66),"",M66*VLOOKUP($F66,Internal!$B$26:$C$32,2,FALSE))</f>
        <v/>
      </c>
      <c r="P66" s="40"/>
    </row>
    <row r="67" ht="14.25" spans="2:16">
      <c r="B67" s="38">
        <v>57</v>
      </c>
      <c r="C67" s="39" t="str">
        <f>IF(ISBLANK(D67),"",_xlfn.CONCAT("T",TEXT(B67,"0000"),"/",VLOOKUP(D67,Internal!$B$35:C$39,2,FALSE),IF(OR(D67="QA",D67="Revision"),_xlfn.CONCAT("/",H67),"")))</f>
        <v/>
      </c>
      <c r="D67" s="40"/>
      <c r="E67" s="41"/>
      <c r="F67" s="41"/>
      <c r="G67" s="40"/>
      <c r="H67" s="41"/>
      <c r="I67" s="45"/>
      <c r="J67" s="45"/>
      <c r="K67" s="46" t="str">
        <f ca="1" t="shared" si="0"/>
        <v/>
      </c>
      <c r="L67" s="47"/>
      <c r="M67" s="47"/>
      <c r="N67" s="46" t="str">
        <f>IF(ISBLANK(L67),"",L67*VLOOKUP($F67,Internal!$B$26:$C$32,2,FALSE))</f>
        <v/>
      </c>
      <c r="O67" s="46" t="str">
        <f>IF(ISBLANK(M67),"",M67*VLOOKUP($F67,Internal!$B$26:$C$32,2,FALSE))</f>
        <v/>
      </c>
      <c r="P67" s="40"/>
    </row>
    <row r="68" ht="14.25" spans="2:16">
      <c r="B68" s="38">
        <v>58</v>
      </c>
      <c r="C68" s="39" t="str">
        <f>IF(ISBLANK(D68),"",_xlfn.CONCAT("T",TEXT(B68,"0000"),"/",VLOOKUP(D68,Internal!$B$35:C$39,2,FALSE),IF(OR(D68="QA",D68="Revision"),_xlfn.CONCAT("/",H68),"")))</f>
        <v/>
      </c>
      <c r="D68" s="40"/>
      <c r="E68" s="41"/>
      <c r="F68" s="41"/>
      <c r="G68" s="40"/>
      <c r="H68" s="41"/>
      <c r="I68" s="45"/>
      <c r="J68" s="45"/>
      <c r="K68" s="46" t="str">
        <f ca="1" t="shared" si="0"/>
        <v/>
      </c>
      <c r="L68" s="47"/>
      <c r="M68" s="47"/>
      <c r="N68" s="46" t="str">
        <f>IF(ISBLANK(L68),"",L68*VLOOKUP($F68,Internal!$B$26:$C$32,2,FALSE))</f>
        <v/>
      </c>
      <c r="O68" s="46" t="str">
        <f>IF(ISBLANK(M68),"",M68*VLOOKUP($F68,Internal!$B$26:$C$32,2,FALSE))</f>
        <v/>
      </c>
      <c r="P68" s="40"/>
    </row>
    <row r="69" ht="14.25" spans="2:16">
      <c r="B69" s="38">
        <v>59</v>
      </c>
      <c r="C69" s="39" t="str">
        <f>IF(ISBLANK(D69),"",_xlfn.CONCAT("T",TEXT(B69,"0000"),"/",VLOOKUP(D69,Internal!$B$35:C$39,2,FALSE),IF(OR(D69="QA",D69="Revision"),_xlfn.CONCAT("/",H69),"")))</f>
        <v/>
      </c>
      <c r="D69" s="40"/>
      <c r="E69" s="41"/>
      <c r="F69" s="41"/>
      <c r="G69" s="40"/>
      <c r="H69" s="41"/>
      <c r="I69" s="45"/>
      <c r="J69" s="45"/>
      <c r="K69" s="46" t="str">
        <f ca="1" t="shared" si="0"/>
        <v/>
      </c>
      <c r="L69" s="47"/>
      <c r="M69" s="47"/>
      <c r="N69" s="46" t="str">
        <f>IF(ISBLANK(L69),"",L69*VLOOKUP($F69,Internal!$B$26:$C$32,2,FALSE))</f>
        <v/>
      </c>
      <c r="O69" s="46" t="str">
        <f>IF(ISBLANK(M69),"",M69*VLOOKUP($F69,Internal!$B$26:$C$32,2,FALSE))</f>
        <v/>
      </c>
      <c r="P69" s="40"/>
    </row>
    <row r="70" ht="14.25" spans="2:16">
      <c r="B70" s="38">
        <v>60</v>
      </c>
      <c r="C70" s="39" t="str">
        <f>IF(ISBLANK(D70),"",_xlfn.CONCAT("T",TEXT(B70,"0000"),"/",VLOOKUP(D70,Internal!$B$35:C$39,2,FALSE),IF(OR(D70="QA",D70="Revision"),_xlfn.CONCAT("/",H70),"")))</f>
        <v/>
      </c>
      <c r="D70" s="40"/>
      <c r="E70" s="41"/>
      <c r="F70" s="41"/>
      <c r="G70" s="40"/>
      <c r="H70" s="41"/>
      <c r="I70" s="45"/>
      <c r="J70" s="45"/>
      <c r="K70" s="46" t="str">
        <f ca="1" t="shared" si="0"/>
        <v/>
      </c>
      <c r="L70" s="47"/>
      <c r="M70" s="47"/>
      <c r="N70" s="46" t="str">
        <f>IF(ISBLANK(L70),"",L70*VLOOKUP($F70,Internal!$B$26:$C$32,2,FALSE))</f>
        <v/>
      </c>
      <c r="O70" s="46" t="str">
        <f>IF(ISBLANK(M70),"",M70*VLOOKUP($F70,Internal!$B$26:$C$32,2,FALSE))</f>
        <v/>
      </c>
      <c r="P70" s="40"/>
    </row>
    <row r="71" ht="14.25" spans="2:16">
      <c r="B71" s="38">
        <v>61</v>
      </c>
      <c r="C71" s="39" t="str">
        <f>IF(ISBLANK(D71),"",_xlfn.CONCAT("T",TEXT(B71,"0000"),"/",VLOOKUP(D71,Internal!$B$35:C$39,2,FALSE),IF(OR(D71="QA",D71="Revision"),_xlfn.CONCAT("/",H71),"")))</f>
        <v/>
      </c>
      <c r="D71" s="40"/>
      <c r="E71" s="41"/>
      <c r="F71" s="41"/>
      <c r="G71" s="40"/>
      <c r="H71" s="41"/>
      <c r="I71" s="45"/>
      <c r="J71" s="45"/>
      <c r="K71" s="46" t="str">
        <f ca="1" t="shared" si="0"/>
        <v/>
      </c>
      <c r="L71" s="47"/>
      <c r="M71" s="47"/>
      <c r="N71" s="46" t="str">
        <f>IF(ISBLANK(L71),"",L71*VLOOKUP($F71,Internal!$B$26:$C$32,2,FALSE))</f>
        <v/>
      </c>
      <c r="O71" s="46" t="str">
        <f>IF(ISBLANK(M71),"",M71*VLOOKUP($F71,Internal!$B$26:$C$32,2,FALSE))</f>
        <v/>
      </c>
      <c r="P71" s="40"/>
    </row>
    <row r="72" ht="14.25" spans="2:16">
      <c r="B72" s="38">
        <v>62</v>
      </c>
      <c r="C72" s="39" t="str">
        <f>IF(ISBLANK(D72),"",_xlfn.CONCAT("T",TEXT(B72,"0000"),"/",VLOOKUP(D72,Internal!$B$35:C$39,2,FALSE),IF(OR(D72="QA",D72="Revision"),_xlfn.CONCAT("/",H72),"")))</f>
        <v/>
      </c>
      <c r="D72" s="40"/>
      <c r="E72" s="41"/>
      <c r="F72" s="41"/>
      <c r="G72" s="40"/>
      <c r="H72" s="41"/>
      <c r="I72" s="45"/>
      <c r="J72" s="45"/>
      <c r="K72" s="46" t="str">
        <f ca="1" t="shared" si="0"/>
        <v/>
      </c>
      <c r="L72" s="47"/>
      <c r="M72" s="47"/>
      <c r="N72" s="46" t="str">
        <f>IF(ISBLANK(L72),"",L72*VLOOKUP($F72,Internal!$B$26:$C$32,2,FALSE))</f>
        <v/>
      </c>
      <c r="O72" s="46" t="str">
        <f>IF(ISBLANK(M72),"",M72*VLOOKUP($F72,Internal!$B$26:$C$32,2,FALSE))</f>
        <v/>
      </c>
      <c r="P72" s="40"/>
    </row>
    <row r="73" ht="14.25" spans="2:16">
      <c r="B73" s="38">
        <v>63</v>
      </c>
      <c r="C73" s="39" t="str">
        <f>IF(ISBLANK(D73),"",_xlfn.CONCAT("T",TEXT(B73,"0000"),"/",VLOOKUP(D73,Internal!$B$35:C$39,2,FALSE),IF(OR(D73="QA",D73="Revision"),_xlfn.CONCAT("/",H73),"")))</f>
        <v/>
      </c>
      <c r="D73" s="40"/>
      <c r="E73" s="41"/>
      <c r="F73" s="41"/>
      <c r="G73" s="40"/>
      <c r="H73" s="41"/>
      <c r="I73" s="45"/>
      <c r="J73" s="45"/>
      <c r="K73" s="46" t="str">
        <f ca="1" t="shared" si="0"/>
        <v/>
      </c>
      <c r="L73" s="47"/>
      <c r="M73" s="47"/>
      <c r="N73" s="46" t="str">
        <f>IF(ISBLANK(L73),"",L73*VLOOKUP($F73,Internal!$B$26:$C$32,2,FALSE))</f>
        <v/>
      </c>
      <c r="O73" s="46" t="str">
        <f>IF(ISBLANK(M73),"",M73*VLOOKUP($F73,Internal!$B$26:$C$32,2,FALSE))</f>
        <v/>
      </c>
      <c r="P73" s="40"/>
    </row>
    <row r="74" ht="14.25" spans="2:16">
      <c r="B74" s="38">
        <v>64</v>
      </c>
      <c r="C74" s="39" t="str">
        <f>IF(ISBLANK(D74),"",_xlfn.CONCAT("T",TEXT(B74,"0000"),"/",VLOOKUP(D74,Internal!$B$35:C$39,2,FALSE),IF(OR(D74="QA",D74="Revision"),_xlfn.CONCAT("/",H74),"")))</f>
        <v/>
      </c>
      <c r="D74" s="40"/>
      <c r="E74" s="41"/>
      <c r="F74" s="41"/>
      <c r="G74" s="40"/>
      <c r="H74" s="41"/>
      <c r="I74" s="45"/>
      <c r="J74" s="45"/>
      <c r="K74" s="46" t="str">
        <f ca="1" t="shared" si="0"/>
        <v/>
      </c>
      <c r="L74" s="47"/>
      <c r="M74" s="47"/>
      <c r="N74" s="46" t="str">
        <f>IF(ISBLANK(L74),"",L74*VLOOKUP($F74,Internal!$B$26:$C$32,2,FALSE))</f>
        <v/>
      </c>
      <c r="O74" s="46" t="str">
        <f>IF(ISBLANK(M74),"",M74*VLOOKUP($F74,Internal!$B$26:$C$32,2,FALSE))</f>
        <v/>
      </c>
      <c r="P74" s="40"/>
    </row>
    <row r="75" ht="14.25" spans="2:16">
      <c r="B75" s="38">
        <v>65</v>
      </c>
      <c r="C75" s="39" t="str">
        <f>IF(ISBLANK(D75),"",_xlfn.CONCAT("T",TEXT(B75,"0000"),"/",VLOOKUP(D75,Internal!$B$35:C$39,2,FALSE),IF(OR(D75="QA",D75="Revision"),_xlfn.CONCAT("/",H75),"")))</f>
        <v/>
      </c>
      <c r="D75" s="40"/>
      <c r="E75" s="41"/>
      <c r="F75" s="41"/>
      <c r="G75" s="40"/>
      <c r="H75" s="41"/>
      <c r="I75" s="45"/>
      <c r="J75" s="45"/>
      <c r="K75" s="46" t="str">
        <f ca="1" t="shared" si="0"/>
        <v/>
      </c>
      <c r="L75" s="47"/>
      <c r="M75" s="47"/>
      <c r="N75" s="46" t="str">
        <f>IF(ISBLANK(L75),"",L75*VLOOKUP($F75,Internal!$B$26:$C$32,2,FALSE))</f>
        <v/>
      </c>
      <c r="O75" s="46" t="str">
        <f>IF(ISBLANK(M75),"",M75*VLOOKUP($F75,Internal!$B$26:$C$32,2,FALSE))</f>
        <v/>
      </c>
      <c r="P75" s="40"/>
    </row>
    <row r="76" ht="14.25" spans="2:16">
      <c r="B76" s="38">
        <v>66</v>
      </c>
      <c r="C76" s="39" t="str">
        <f>IF(ISBLANK(D76),"",_xlfn.CONCAT("T",TEXT(B76,"0000"),"/",VLOOKUP(D76,Internal!$B$35:C$39,2,FALSE),IF(OR(D76="QA",D76="Revision"),_xlfn.CONCAT("/",H76),"")))</f>
        <v/>
      </c>
      <c r="D76" s="40"/>
      <c r="E76" s="41"/>
      <c r="F76" s="41"/>
      <c r="G76" s="40"/>
      <c r="H76" s="41"/>
      <c r="I76" s="45"/>
      <c r="J76" s="45"/>
      <c r="K76" s="46" t="str">
        <f ca="1" t="shared" ref="K76:K110" si="1">IF(OR(I76="",J76=""),"",IF(AND(J76&lt;&gt;"",I76&gt;=NOW()),"Planned",IF(AND(J76&lt;&gt;"",J76&lt;NOW()),"Completed","Ongoing")))</f>
        <v/>
      </c>
      <c r="L76" s="47"/>
      <c r="M76" s="47"/>
      <c r="N76" s="46" t="str">
        <f>IF(ISBLANK(L76),"",L76*VLOOKUP($F76,Internal!$B$26:$C$32,2,FALSE))</f>
        <v/>
      </c>
      <c r="O76" s="46" t="str">
        <f>IF(ISBLANK(M76),"",M76*VLOOKUP($F76,Internal!$B$26:$C$32,2,FALSE))</f>
        <v/>
      </c>
      <c r="P76" s="40"/>
    </row>
    <row r="77" ht="14.25" spans="2:16">
      <c r="B77" s="38">
        <v>67</v>
      </c>
      <c r="C77" s="39" t="str">
        <f>IF(ISBLANK(D77),"",_xlfn.CONCAT("T",TEXT(B77,"0000"),"/",VLOOKUP(D77,Internal!$B$35:C$39,2,FALSE),IF(OR(D77="QA",D77="Revision"),_xlfn.CONCAT("/",H77),"")))</f>
        <v/>
      </c>
      <c r="D77" s="40"/>
      <c r="E77" s="41"/>
      <c r="F77" s="41"/>
      <c r="G77" s="40"/>
      <c r="H77" s="41"/>
      <c r="I77" s="45"/>
      <c r="J77" s="45"/>
      <c r="K77" s="46" t="str">
        <f ca="1" t="shared" si="1"/>
        <v/>
      </c>
      <c r="L77" s="47"/>
      <c r="M77" s="47"/>
      <c r="N77" s="46" t="str">
        <f>IF(ISBLANK(L77),"",L77*VLOOKUP($F77,Internal!$B$26:$C$32,2,FALSE))</f>
        <v/>
      </c>
      <c r="O77" s="46" t="str">
        <f>IF(ISBLANK(M77),"",M77*VLOOKUP($F77,Internal!$B$26:$C$32,2,FALSE))</f>
        <v/>
      </c>
      <c r="P77" s="40"/>
    </row>
    <row r="78" ht="14.25" spans="2:16">
      <c r="B78" s="38">
        <v>68</v>
      </c>
      <c r="C78" s="39" t="str">
        <f>IF(ISBLANK(D78),"",_xlfn.CONCAT("T",TEXT(B78,"0000"),"/",VLOOKUP(D78,Internal!$B$35:C$39,2,FALSE),IF(OR(D78="QA",D78="Revision"),_xlfn.CONCAT("/",H78),"")))</f>
        <v/>
      </c>
      <c r="D78" s="40"/>
      <c r="E78" s="41"/>
      <c r="F78" s="41"/>
      <c r="G78" s="40"/>
      <c r="H78" s="41"/>
      <c r="I78" s="45"/>
      <c r="J78" s="45"/>
      <c r="K78" s="46" t="str">
        <f ca="1" t="shared" si="1"/>
        <v/>
      </c>
      <c r="L78" s="47"/>
      <c r="M78" s="47"/>
      <c r="N78" s="46" t="str">
        <f>IF(ISBLANK(L78),"",L78*VLOOKUP($F78,Internal!$B$26:$C$32,2,FALSE))</f>
        <v/>
      </c>
      <c r="O78" s="46" t="str">
        <f>IF(ISBLANK(M78),"",M78*VLOOKUP($F78,Internal!$B$26:$C$32,2,FALSE))</f>
        <v/>
      </c>
      <c r="P78" s="40"/>
    </row>
    <row r="79" ht="14.25" spans="2:16">
      <c r="B79" s="38">
        <v>69</v>
      </c>
      <c r="C79" s="39" t="str">
        <f>IF(ISBLANK(D79),"",_xlfn.CONCAT("T",TEXT(B79,"0000"),"/",VLOOKUP(D79,Internal!$B$35:C$39,2,FALSE),IF(OR(D79="QA",D79="Revision"),_xlfn.CONCAT("/",H79),"")))</f>
        <v/>
      </c>
      <c r="D79" s="40"/>
      <c r="E79" s="41"/>
      <c r="F79" s="41"/>
      <c r="G79" s="40"/>
      <c r="H79" s="41"/>
      <c r="I79" s="45"/>
      <c r="J79" s="45"/>
      <c r="K79" s="46" t="str">
        <f ca="1" t="shared" si="1"/>
        <v/>
      </c>
      <c r="L79" s="47"/>
      <c r="M79" s="47"/>
      <c r="N79" s="46" t="str">
        <f>IF(ISBLANK(L79),"",L79*VLOOKUP($F79,Internal!$B$26:$C$32,2,FALSE))</f>
        <v/>
      </c>
      <c r="O79" s="46" t="str">
        <f>IF(ISBLANK(M79),"",M79*VLOOKUP($F79,Internal!$B$26:$C$32,2,FALSE))</f>
        <v/>
      </c>
      <c r="P79" s="40"/>
    </row>
    <row r="80" ht="14.25" spans="2:16">
      <c r="B80" s="38">
        <v>70</v>
      </c>
      <c r="C80" s="39" t="str">
        <f>IF(ISBLANK(D80),"",_xlfn.CONCAT("T",TEXT(B80,"0000"),"/",VLOOKUP(D80,Internal!$B$35:C$39,2,FALSE),IF(OR(D80="QA",D80="Revision"),_xlfn.CONCAT("/",H80),"")))</f>
        <v/>
      </c>
      <c r="D80" s="40"/>
      <c r="E80" s="41"/>
      <c r="F80" s="41"/>
      <c r="G80" s="40"/>
      <c r="H80" s="41"/>
      <c r="I80" s="45"/>
      <c r="J80" s="45"/>
      <c r="K80" s="46" t="str">
        <f ca="1" t="shared" si="1"/>
        <v/>
      </c>
      <c r="L80" s="47"/>
      <c r="M80" s="47"/>
      <c r="N80" s="46" t="str">
        <f>IF(ISBLANK(L80),"",L80*VLOOKUP($F80,Internal!$B$26:$C$32,2,FALSE))</f>
        <v/>
      </c>
      <c r="O80" s="46" t="str">
        <f>IF(ISBLANK(M80),"",M80*VLOOKUP($F80,Internal!$B$26:$C$32,2,FALSE))</f>
        <v/>
      </c>
      <c r="P80" s="40"/>
    </row>
    <row r="81" ht="14.25" spans="2:16">
      <c r="B81" s="38">
        <v>71</v>
      </c>
      <c r="C81" s="39" t="str">
        <f>IF(ISBLANK(D81),"",_xlfn.CONCAT("T",TEXT(B81,"0000"),"/",VLOOKUP(D81,Internal!$B$35:C$39,2,FALSE),IF(OR(D81="QA",D81="Revision"),_xlfn.CONCAT("/",H81),"")))</f>
        <v/>
      </c>
      <c r="D81" s="40"/>
      <c r="E81" s="41"/>
      <c r="F81" s="41"/>
      <c r="G81" s="40"/>
      <c r="H81" s="41"/>
      <c r="I81" s="45"/>
      <c r="J81" s="45"/>
      <c r="K81" s="46" t="str">
        <f ca="1" t="shared" si="1"/>
        <v/>
      </c>
      <c r="L81" s="47"/>
      <c r="M81" s="47"/>
      <c r="N81" s="46" t="str">
        <f>IF(ISBLANK(L81),"",L81*VLOOKUP($F81,Internal!$B$26:$C$32,2,FALSE))</f>
        <v/>
      </c>
      <c r="O81" s="46" t="str">
        <f>IF(ISBLANK(M81),"",M81*VLOOKUP($F81,Internal!$B$26:$C$32,2,FALSE))</f>
        <v/>
      </c>
      <c r="P81" s="40"/>
    </row>
    <row r="82" ht="14.25" spans="2:16">
      <c r="B82" s="38">
        <v>72</v>
      </c>
      <c r="C82" s="39" t="str">
        <f>IF(ISBLANK(D82),"",_xlfn.CONCAT("T",TEXT(B82,"0000"),"/",VLOOKUP(D82,Internal!$B$35:C$39,2,FALSE),IF(OR(D82="QA",D82="Revision"),_xlfn.CONCAT("/",H82),"")))</f>
        <v/>
      </c>
      <c r="D82" s="40"/>
      <c r="E82" s="41"/>
      <c r="F82" s="41"/>
      <c r="G82" s="40"/>
      <c r="H82" s="41"/>
      <c r="I82" s="45"/>
      <c r="J82" s="45"/>
      <c r="K82" s="46" t="str">
        <f ca="1" t="shared" si="1"/>
        <v/>
      </c>
      <c r="L82" s="47"/>
      <c r="M82" s="47"/>
      <c r="N82" s="46" t="str">
        <f>IF(ISBLANK(L82),"",L82*VLOOKUP($F82,Internal!$B$26:$C$32,2,FALSE))</f>
        <v/>
      </c>
      <c r="O82" s="46" t="str">
        <f>IF(ISBLANK(M82),"",M82*VLOOKUP($F82,Internal!$B$26:$C$32,2,FALSE))</f>
        <v/>
      </c>
      <c r="P82" s="40"/>
    </row>
    <row r="83" ht="14.25" spans="2:16">
      <c r="B83" s="38">
        <v>73</v>
      </c>
      <c r="C83" s="39" t="str">
        <f>IF(ISBLANK(D83),"",_xlfn.CONCAT("T",TEXT(B83,"0000"),"/",VLOOKUP(D83,Internal!$B$35:C$39,2,FALSE),IF(OR(D83="QA",D83="Revision"),_xlfn.CONCAT("/",H83),"")))</f>
        <v/>
      </c>
      <c r="D83" s="40"/>
      <c r="E83" s="41"/>
      <c r="F83" s="41"/>
      <c r="G83" s="40"/>
      <c r="H83" s="41"/>
      <c r="I83" s="45"/>
      <c r="J83" s="45"/>
      <c r="K83" s="46" t="str">
        <f ca="1" t="shared" si="1"/>
        <v/>
      </c>
      <c r="L83" s="47"/>
      <c r="M83" s="47"/>
      <c r="N83" s="46" t="str">
        <f>IF(ISBLANK(L83),"",L83*VLOOKUP($F83,Internal!$B$26:$C$32,2,FALSE))</f>
        <v/>
      </c>
      <c r="O83" s="46" t="str">
        <f>IF(ISBLANK(M83),"",M83*VLOOKUP($F83,Internal!$B$26:$C$32,2,FALSE))</f>
        <v/>
      </c>
      <c r="P83" s="40"/>
    </row>
    <row r="84" ht="14.25" spans="2:16">
      <c r="B84" s="38">
        <v>74</v>
      </c>
      <c r="C84" s="39" t="str">
        <f>IF(ISBLANK(D84),"",_xlfn.CONCAT("T",TEXT(B84,"0000"),"/",VLOOKUP(D84,Internal!$B$35:C$39,2,FALSE),IF(OR(D84="QA",D84="Revision"),_xlfn.CONCAT("/",H84),"")))</f>
        <v/>
      </c>
      <c r="D84" s="40"/>
      <c r="E84" s="41"/>
      <c r="F84" s="41"/>
      <c r="G84" s="40"/>
      <c r="H84" s="41"/>
      <c r="I84" s="45"/>
      <c r="J84" s="45"/>
      <c r="K84" s="46" t="str">
        <f ca="1" t="shared" si="1"/>
        <v/>
      </c>
      <c r="L84" s="47"/>
      <c r="M84" s="47"/>
      <c r="N84" s="46" t="str">
        <f>IF(ISBLANK(L84),"",L84*VLOOKUP($F84,Internal!$B$26:$C$32,2,FALSE))</f>
        <v/>
      </c>
      <c r="O84" s="46" t="str">
        <f>IF(ISBLANK(M84),"",M84*VLOOKUP($F84,Internal!$B$26:$C$32,2,FALSE))</f>
        <v/>
      </c>
      <c r="P84" s="40"/>
    </row>
    <row r="85" ht="14.25" spans="2:16">
      <c r="B85" s="38">
        <v>75</v>
      </c>
      <c r="C85" s="39" t="str">
        <f>IF(ISBLANK(D85),"",_xlfn.CONCAT("T",TEXT(B85,"0000"),"/",VLOOKUP(D85,Internal!$B$35:C$39,2,FALSE),IF(OR(D85="QA",D85="Revision"),_xlfn.CONCAT("/",H85),"")))</f>
        <v/>
      </c>
      <c r="D85" s="40"/>
      <c r="E85" s="41"/>
      <c r="F85" s="41"/>
      <c r="G85" s="40"/>
      <c r="H85" s="41"/>
      <c r="I85" s="45"/>
      <c r="J85" s="45"/>
      <c r="K85" s="46" t="str">
        <f ca="1" t="shared" si="1"/>
        <v/>
      </c>
      <c r="L85" s="47"/>
      <c r="M85" s="47"/>
      <c r="N85" s="46" t="str">
        <f>IF(ISBLANK(L85),"",L85*VLOOKUP($F85,Internal!$B$26:$C$32,2,FALSE))</f>
        <v/>
      </c>
      <c r="O85" s="46" t="str">
        <f>IF(ISBLANK(M85),"",M85*VLOOKUP($F85,Internal!$B$26:$C$32,2,FALSE))</f>
        <v/>
      </c>
      <c r="P85" s="40"/>
    </row>
    <row r="86" ht="14.25" spans="2:16">
      <c r="B86" s="38">
        <v>76</v>
      </c>
      <c r="C86" s="39" t="str">
        <f>IF(ISBLANK(D86),"",_xlfn.CONCAT("T",TEXT(B86,"0000"),"/",VLOOKUP(D86,Internal!$B$35:C$39,2,FALSE),IF(OR(D86="QA",D86="Revision"),_xlfn.CONCAT("/",H86),"")))</f>
        <v/>
      </c>
      <c r="D86" s="40"/>
      <c r="E86" s="41"/>
      <c r="F86" s="41"/>
      <c r="G86" s="40"/>
      <c r="H86" s="41"/>
      <c r="I86" s="45"/>
      <c r="J86" s="45"/>
      <c r="K86" s="46" t="str">
        <f ca="1" t="shared" si="1"/>
        <v/>
      </c>
      <c r="L86" s="47"/>
      <c r="M86" s="47"/>
      <c r="N86" s="46" t="str">
        <f>IF(ISBLANK(L86),"",L86*VLOOKUP($F86,Internal!$B$26:$C$32,2,FALSE))</f>
        <v/>
      </c>
      <c r="O86" s="46" t="str">
        <f>IF(ISBLANK(M86),"",M86*VLOOKUP($F86,Internal!$B$26:$C$32,2,FALSE))</f>
        <v/>
      </c>
      <c r="P86" s="40"/>
    </row>
    <row r="87" ht="14.25" spans="2:16">
      <c r="B87" s="38">
        <v>77</v>
      </c>
      <c r="C87" s="39" t="str">
        <f>IF(ISBLANK(D87),"",_xlfn.CONCAT("T",TEXT(B87,"0000"),"/",VLOOKUP(D87,Internal!$B$35:C$39,2,FALSE),IF(OR(D87="QA",D87="Revision"),_xlfn.CONCAT("/",H87),"")))</f>
        <v/>
      </c>
      <c r="D87" s="40"/>
      <c r="E87" s="41"/>
      <c r="F87" s="41"/>
      <c r="G87" s="40"/>
      <c r="H87" s="41"/>
      <c r="I87" s="45"/>
      <c r="J87" s="45"/>
      <c r="K87" s="46" t="str">
        <f ca="1" t="shared" si="1"/>
        <v/>
      </c>
      <c r="L87" s="47"/>
      <c r="M87" s="47"/>
      <c r="N87" s="46" t="str">
        <f>IF(ISBLANK(L87),"",L87*VLOOKUP($F87,Internal!$B$26:$C$32,2,FALSE))</f>
        <v/>
      </c>
      <c r="O87" s="46" t="str">
        <f>IF(ISBLANK(M87),"",M87*VLOOKUP($F87,Internal!$B$26:$C$32,2,FALSE))</f>
        <v/>
      </c>
      <c r="P87" s="40"/>
    </row>
    <row r="88" ht="14.25" spans="2:16">
      <c r="B88" s="38">
        <v>78</v>
      </c>
      <c r="C88" s="39" t="str">
        <f>IF(ISBLANK(D88),"",_xlfn.CONCAT("T",TEXT(B88,"0000"),"/",VLOOKUP(D88,Internal!$B$35:C$39,2,FALSE),IF(OR(D88="QA",D88="Revision"),_xlfn.CONCAT("/",H88),"")))</f>
        <v/>
      </c>
      <c r="D88" s="40"/>
      <c r="E88" s="41"/>
      <c r="F88" s="41"/>
      <c r="G88" s="40"/>
      <c r="H88" s="41"/>
      <c r="I88" s="45"/>
      <c r="J88" s="45"/>
      <c r="K88" s="46" t="str">
        <f ca="1" t="shared" si="1"/>
        <v/>
      </c>
      <c r="L88" s="47"/>
      <c r="M88" s="47"/>
      <c r="N88" s="46" t="str">
        <f>IF(ISBLANK(L88),"",L88*VLOOKUP($F88,Internal!$B$26:$C$32,2,FALSE))</f>
        <v/>
      </c>
      <c r="O88" s="46" t="str">
        <f>IF(ISBLANK(M88),"",M88*VLOOKUP($F88,Internal!$B$26:$C$32,2,FALSE))</f>
        <v/>
      </c>
      <c r="P88" s="40"/>
    </row>
    <row r="89" ht="14.25" spans="2:16">
      <c r="B89" s="38">
        <v>79</v>
      </c>
      <c r="C89" s="39" t="str">
        <f>IF(ISBLANK(D89),"",_xlfn.CONCAT("T",TEXT(B89,"0000"),"/",VLOOKUP(D89,Internal!$B$35:C$39,2,FALSE),IF(OR(D89="QA",D89="Revision"),_xlfn.CONCAT("/",H89),"")))</f>
        <v/>
      </c>
      <c r="D89" s="40"/>
      <c r="E89" s="41"/>
      <c r="F89" s="41"/>
      <c r="G89" s="40"/>
      <c r="H89" s="41"/>
      <c r="I89" s="45"/>
      <c r="J89" s="45"/>
      <c r="K89" s="46" t="str">
        <f ca="1" t="shared" si="1"/>
        <v/>
      </c>
      <c r="L89" s="47"/>
      <c r="M89" s="47"/>
      <c r="N89" s="46" t="str">
        <f>IF(ISBLANK(L89),"",L89*VLOOKUP($F89,Internal!$B$26:$C$32,2,FALSE))</f>
        <v/>
      </c>
      <c r="O89" s="46" t="str">
        <f>IF(ISBLANK(M89),"",M89*VLOOKUP($F89,Internal!$B$26:$C$32,2,FALSE))</f>
        <v/>
      </c>
      <c r="P89" s="40"/>
    </row>
    <row r="90" ht="14.25" spans="2:16">
      <c r="B90" s="38">
        <v>80</v>
      </c>
      <c r="C90" s="39" t="str">
        <f>IF(ISBLANK(D90),"",_xlfn.CONCAT("T",TEXT(B90,"0000"),"/",VLOOKUP(D90,Internal!$B$35:C$39,2,FALSE),IF(OR(D90="QA",D90="Revision"),_xlfn.CONCAT("/",H90),"")))</f>
        <v/>
      </c>
      <c r="D90" s="40"/>
      <c r="E90" s="41"/>
      <c r="F90" s="41"/>
      <c r="G90" s="40"/>
      <c r="H90" s="41"/>
      <c r="I90" s="45"/>
      <c r="J90" s="45"/>
      <c r="K90" s="46" t="str">
        <f ca="1" t="shared" si="1"/>
        <v/>
      </c>
      <c r="L90" s="47"/>
      <c r="M90" s="47"/>
      <c r="N90" s="46" t="str">
        <f>IF(ISBLANK(L90),"",L90*VLOOKUP($F90,Internal!$B$26:$C$32,2,FALSE))</f>
        <v/>
      </c>
      <c r="O90" s="46" t="str">
        <f>IF(ISBLANK(M90),"",M90*VLOOKUP($F90,Internal!$B$26:$C$32,2,FALSE))</f>
        <v/>
      </c>
      <c r="P90" s="40"/>
    </row>
    <row r="91" ht="14.25" spans="2:16">
      <c r="B91" s="38">
        <v>81</v>
      </c>
      <c r="C91" s="39" t="str">
        <f>IF(ISBLANK(D91),"",_xlfn.CONCAT("T",TEXT(B91,"0000"),"/",VLOOKUP(D91,Internal!$B$35:C$39,2,FALSE),IF(OR(D91="QA",D91="Revision"),_xlfn.CONCAT("/",H91),"")))</f>
        <v/>
      </c>
      <c r="D91" s="40"/>
      <c r="E91" s="41"/>
      <c r="F91" s="41"/>
      <c r="G91" s="40"/>
      <c r="H91" s="41"/>
      <c r="I91" s="45"/>
      <c r="J91" s="45"/>
      <c r="K91" s="46" t="str">
        <f ca="1" t="shared" si="1"/>
        <v/>
      </c>
      <c r="L91" s="47"/>
      <c r="M91" s="47"/>
      <c r="N91" s="46" t="str">
        <f>IF(ISBLANK(L91),"",L91*VLOOKUP($F91,Internal!$B$26:$C$32,2,FALSE))</f>
        <v/>
      </c>
      <c r="O91" s="46" t="str">
        <f>IF(ISBLANK(M91),"",M91*VLOOKUP($F91,Internal!$B$26:$C$32,2,FALSE))</f>
        <v/>
      </c>
      <c r="P91" s="40"/>
    </row>
    <row r="92" ht="14.25" spans="2:16">
      <c r="B92" s="38">
        <v>82</v>
      </c>
      <c r="C92" s="39" t="str">
        <f>IF(ISBLANK(D92),"",_xlfn.CONCAT("T",TEXT(B92,"0000"),"/",VLOOKUP(D92,Internal!$B$35:C$39,2,FALSE),IF(OR(D92="QA",D92="Revision"),_xlfn.CONCAT("/",H92),"")))</f>
        <v/>
      </c>
      <c r="D92" s="40"/>
      <c r="E92" s="41"/>
      <c r="F92" s="41"/>
      <c r="G92" s="40"/>
      <c r="H92" s="41"/>
      <c r="I92" s="45"/>
      <c r="J92" s="45"/>
      <c r="K92" s="46" t="str">
        <f ca="1" t="shared" si="1"/>
        <v/>
      </c>
      <c r="L92" s="47"/>
      <c r="M92" s="47"/>
      <c r="N92" s="46" t="str">
        <f>IF(ISBLANK(L92),"",L92*VLOOKUP($F92,Internal!$B$26:$C$32,2,FALSE))</f>
        <v/>
      </c>
      <c r="O92" s="46" t="str">
        <f>IF(ISBLANK(M92),"",M92*VLOOKUP($F92,Internal!$B$26:$C$32,2,FALSE))</f>
        <v/>
      </c>
      <c r="P92" s="40"/>
    </row>
    <row r="93" ht="14.25" spans="2:16">
      <c r="B93" s="38">
        <v>83</v>
      </c>
      <c r="C93" s="39" t="str">
        <f>IF(ISBLANK(D93),"",_xlfn.CONCAT("T",TEXT(B93,"0000"),"/",VLOOKUP(D93,Internal!$B$35:C$39,2,FALSE),IF(OR(D93="QA",D93="Revision"),_xlfn.CONCAT("/",H93),"")))</f>
        <v/>
      </c>
      <c r="D93" s="40"/>
      <c r="E93" s="41"/>
      <c r="F93" s="41"/>
      <c r="G93" s="40"/>
      <c r="H93" s="41"/>
      <c r="I93" s="45"/>
      <c r="J93" s="45"/>
      <c r="K93" s="46" t="str">
        <f ca="1" t="shared" si="1"/>
        <v/>
      </c>
      <c r="L93" s="47"/>
      <c r="M93" s="47"/>
      <c r="N93" s="46" t="str">
        <f>IF(ISBLANK(L93),"",L93*VLOOKUP($F93,Internal!$B$26:$C$32,2,FALSE))</f>
        <v/>
      </c>
      <c r="O93" s="46" t="str">
        <f>IF(ISBLANK(M93),"",M93*VLOOKUP($F93,Internal!$B$26:$C$32,2,FALSE))</f>
        <v/>
      </c>
      <c r="P93" s="40"/>
    </row>
    <row r="94" ht="14.25" spans="2:16">
      <c r="B94" s="38">
        <v>84</v>
      </c>
      <c r="C94" s="39" t="str">
        <f>IF(ISBLANK(D94),"",_xlfn.CONCAT("T",TEXT(B94,"0000"),"/",VLOOKUP(D94,Internal!$B$35:C$39,2,FALSE),IF(OR(D94="QA",D94="Revision"),_xlfn.CONCAT("/",H94),"")))</f>
        <v/>
      </c>
      <c r="D94" s="40"/>
      <c r="E94" s="41"/>
      <c r="F94" s="41"/>
      <c r="G94" s="40"/>
      <c r="H94" s="41"/>
      <c r="I94" s="45"/>
      <c r="J94" s="45"/>
      <c r="K94" s="46" t="str">
        <f ca="1" t="shared" si="1"/>
        <v/>
      </c>
      <c r="L94" s="47"/>
      <c r="M94" s="47"/>
      <c r="N94" s="46" t="str">
        <f>IF(ISBLANK(L94),"",L94*VLOOKUP($F94,Internal!$B$26:$C$32,2,FALSE))</f>
        <v/>
      </c>
      <c r="O94" s="46" t="str">
        <f>IF(ISBLANK(M94),"",M94*VLOOKUP($F94,Internal!$B$26:$C$32,2,FALSE))</f>
        <v/>
      </c>
      <c r="P94" s="40"/>
    </row>
    <row r="95" ht="14.25" spans="2:16">
      <c r="B95" s="38">
        <v>85</v>
      </c>
      <c r="C95" s="39" t="str">
        <f>IF(ISBLANK(D95),"",_xlfn.CONCAT("T",TEXT(B95,"0000"),"/",VLOOKUP(D95,Internal!$B$35:C$39,2,FALSE),IF(OR(D95="QA",D95="Revision"),_xlfn.CONCAT("/",H95),"")))</f>
        <v/>
      </c>
      <c r="D95" s="40"/>
      <c r="E95" s="41"/>
      <c r="F95" s="41"/>
      <c r="G95" s="40"/>
      <c r="H95" s="41"/>
      <c r="I95" s="45"/>
      <c r="J95" s="45"/>
      <c r="K95" s="46" t="str">
        <f ca="1" t="shared" si="1"/>
        <v/>
      </c>
      <c r="L95" s="47"/>
      <c r="M95" s="47"/>
      <c r="N95" s="46" t="str">
        <f>IF(ISBLANK(L95),"",L95*VLOOKUP($F95,Internal!$B$26:$C$32,2,FALSE))</f>
        <v/>
      </c>
      <c r="O95" s="46" t="str">
        <f>IF(ISBLANK(M95),"",M95*VLOOKUP($F95,Internal!$B$26:$C$32,2,FALSE))</f>
        <v/>
      </c>
      <c r="P95" s="40"/>
    </row>
    <row r="96" ht="14.25" spans="2:16">
      <c r="B96" s="38">
        <v>86</v>
      </c>
      <c r="C96" s="39" t="str">
        <f>IF(ISBLANK(D96),"",_xlfn.CONCAT("T",TEXT(B96,"0000"),"/",VLOOKUP(D96,Internal!$B$35:C$39,2,FALSE),IF(OR(D96="QA",D96="Revision"),_xlfn.CONCAT("/",H96),"")))</f>
        <v/>
      </c>
      <c r="D96" s="40"/>
      <c r="E96" s="41"/>
      <c r="F96" s="41"/>
      <c r="G96" s="40"/>
      <c r="H96" s="41"/>
      <c r="I96" s="45"/>
      <c r="J96" s="45"/>
      <c r="K96" s="46" t="str">
        <f ca="1" t="shared" si="1"/>
        <v/>
      </c>
      <c r="L96" s="47"/>
      <c r="M96" s="47"/>
      <c r="N96" s="46" t="str">
        <f>IF(ISBLANK(L96),"",L96*VLOOKUP($F96,Internal!$B$26:$C$32,2,FALSE))</f>
        <v/>
      </c>
      <c r="O96" s="46" t="str">
        <f>IF(ISBLANK(M96),"",M96*VLOOKUP($F96,Internal!$B$26:$C$32,2,FALSE))</f>
        <v/>
      </c>
      <c r="P96" s="40"/>
    </row>
    <row r="97" ht="14.25" spans="2:16">
      <c r="B97" s="38">
        <v>87</v>
      </c>
      <c r="C97" s="39" t="str">
        <f>IF(ISBLANK(D97),"",_xlfn.CONCAT("T",TEXT(B97,"0000"),"/",VLOOKUP(D97,Internal!$B$35:C$39,2,FALSE),IF(OR(D97="QA",D97="Revision"),_xlfn.CONCAT("/",H97),"")))</f>
        <v/>
      </c>
      <c r="D97" s="40"/>
      <c r="E97" s="41"/>
      <c r="F97" s="41"/>
      <c r="G97" s="40"/>
      <c r="H97" s="41"/>
      <c r="I97" s="45"/>
      <c r="J97" s="45"/>
      <c r="K97" s="46" t="str">
        <f ca="1" t="shared" si="1"/>
        <v/>
      </c>
      <c r="L97" s="47"/>
      <c r="M97" s="47"/>
      <c r="N97" s="46" t="str">
        <f>IF(ISBLANK(L97),"",L97*VLOOKUP($F97,Internal!$B$26:$C$32,2,FALSE))</f>
        <v/>
      </c>
      <c r="O97" s="46" t="str">
        <f>IF(ISBLANK(M97),"",M97*VLOOKUP($F97,Internal!$B$26:$C$32,2,FALSE))</f>
        <v/>
      </c>
      <c r="P97" s="40"/>
    </row>
    <row r="98" ht="14.25" spans="2:16">
      <c r="B98" s="38">
        <v>88</v>
      </c>
      <c r="C98" s="39" t="str">
        <f>IF(ISBLANK(D98),"",_xlfn.CONCAT("T",TEXT(B98,"0000"),"/",VLOOKUP(D98,Internal!$B$35:C$39,2,FALSE),IF(OR(D98="QA",D98="Revision"),_xlfn.CONCAT("/",H98),"")))</f>
        <v/>
      </c>
      <c r="D98" s="40"/>
      <c r="E98" s="41"/>
      <c r="F98" s="41"/>
      <c r="G98" s="40"/>
      <c r="H98" s="41"/>
      <c r="I98" s="45"/>
      <c r="J98" s="45"/>
      <c r="K98" s="46" t="str">
        <f ca="1" t="shared" si="1"/>
        <v/>
      </c>
      <c r="L98" s="47"/>
      <c r="M98" s="47"/>
      <c r="N98" s="46" t="str">
        <f>IF(ISBLANK(L98),"",L98*VLOOKUP($F98,Internal!$B$26:$C$32,2,FALSE))</f>
        <v/>
      </c>
      <c r="O98" s="46" t="str">
        <f>IF(ISBLANK(M98),"",M98*VLOOKUP($F98,Internal!$B$26:$C$32,2,FALSE))</f>
        <v/>
      </c>
      <c r="P98" s="40"/>
    </row>
    <row r="99" ht="14.25" spans="2:16">
      <c r="B99" s="38">
        <v>89</v>
      </c>
      <c r="C99" s="39" t="str">
        <f>IF(ISBLANK(D99),"",_xlfn.CONCAT("T",TEXT(B99,"0000"),"/",VLOOKUP(D99,Internal!$B$35:C$39,2,FALSE),IF(OR(D99="QA",D99="Revision"),_xlfn.CONCAT("/",H99),"")))</f>
        <v/>
      </c>
      <c r="D99" s="40"/>
      <c r="E99" s="41"/>
      <c r="F99" s="41"/>
      <c r="G99" s="40"/>
      <c r="H99" s="41"/>
      <c r="I99" s="45"/>
      <c r="J99" s="45"/>
      <c r="K99" s="46" t="str">
        <f ca="1" t="shared" si="1"/>
        <v/>
      </c>
      <c r="L99" s="47"/>
      <c r="M99" s="47"/>
      <c r="N99" s="46" t="str">
        <f>IF(ISBLANK(L99),"",L99*VLOOKUP($F99,Internal!$B$26:$C$32,2,FALSE))</f>
        <v/>
      </c>
      <c r="O99" s="46" t="str">
        <f>IF(ISBLANK(M99),"",M99*VLOOKUP($F99,Internal!$B$26:$C$32,2,FALSE))</f>
        <v/>
      </c>
      <c r="P99" s="40"/>
    </row>
    <row r="100" ht="14.25" spans="2:16">
      <c r="B100" s="38">
        <v>90</v>
      </c>
      <c r="C100" s="39" t="str">
        <f>IF(ISBLANK(D100),"",_xlfn.CONCAT("T",TEXT(B100,"0000"),"/",VLOOKUP(D100,Internal!$B$35:C$39,2,FALSE),IF(OR(D100="QA",D100="Revision"),_xlfn.CONCAT("/",H100),"")))</f>
        <v/>
      </c>
      <c r="D100" s="40"/>
      <c r="E100" s="41"/>
      <c r="F100" s="41"/>
      <c r="G100" s="40"/>
      <c r="H100" s="41"/>
      <c r="I100" s="45"/>
      <c r="J100" s="45"/>
      <c r="K100" s="46" t="str">
        <f ca="1" t="shared" si="1"/>
        <v/>
      </c>
      <c r="L100" s="47"/>
      <c r="M100" s="47"/>
      <c r="N100" s="46" t="str">
        <f>IF(ISBLANK(L100),"",L100*VLOOKUP($F100,Internal!$B$26:$C$32,2,FALSE))</f>
        <v/>
      </c>
      <c r="O100" s="46" t="str">
        <f>IF(ISBLANK(M100),"",M100*VLOOKUP($F100,Internal!$B$26:$C$32,2,FALSE))</f>
        <v/>
      </c>
      <c r="P100" s="40"/>
    </row>
    <row r="101" ht="14.25" spans="2:16">
      <c r="B101" s="38">
        <v>91</v>
      </c>
      <c r="C101" s="39" t="str">
        <f>IF(ISBLANK(D101),"",_xlfn.CONCAT("T",TEXT(B101,"0000"),"/",VLOOKUP(D101,Internal!$B$35:C$39,2,FALSE),IF(OR(D101="QA",D101="Revision"),_xlfn.CONCAT("/",H101),"")))</f>
        <v/>
      </c>
      <c r="D101" s="40"/>
      <c r="E101" s="41"/>
      <c r="F101" s="41"/>
      <c r="G101" s="40"/>
      <c r="H101" s="41"/>
      <c r="I101" s="45"/>
      <c r="J101" s="45"/>
      <c r="K101" s="46" t="str">
        <f ca="1" t="shared" si="1"/>
        <v/>
      </c>
      <c r="L101" s="47"/>
      <c r="M101" s="47"/>
      <c r="N101" s="46" t="str">
        <f>IF(ISBLANK(L101),"",L101*VLOOKUP($F101,Internal!$B$26:$C$32,2,FALSE))</f>
        <v/>
      </c>
      <c r="O101" s="46" t="str">
        <f>IF(ISBLANK(M101),"",M101*VLOOKUP($F101,Internal!$B$26:$C$32,2,FALSE))</f>
        <v/>
      </c>
      <c r="P101" s="40"/>
    </row>
    <row r="102" ht="14.25" spans="2:16">
      <c r="B102" s="38">
        <v>92</v>
      </c>
      <c r="C102" s="39" t="str">
        <f>IF(ISBLANK(D102),"",_xlfn.CONCAT("T",TEXT(B102,"0000"),"/",VLOOKUP(D102,Internal!$B$35:C$39,2,FALSE),IF(OR(D102="QA",D102="Revision"),_xlfn.CONCAT("/",H102),"")))</f>
        <v/>
      </c>
      <c r="D102" s="40"/>
      <c r="E102" s="41"/>
      <c r="F102" s="41"/>
      <c r="G102" s="40"/>
      <c r="H102" s="41"/>
      <c r="I102" s="45"/>
      <c r="J102" s="45"/>
      <c r="K102" s="46" t="str">
        <f ca="1" t="shared" si="1"/>
        <v/>
      </c>
      <c r="L102" s="47"/>
      <c r="M102" s="47"/>
      <c r="N102" s="46" t="str">
        <f>IF(ISBLANK(L102),"",L102*VLOOKUP($F102,Internal!$B$26:$C$32,2,FALSE))</f>
        <v/>
      </c>
      <c r="O102" s="46" t="str">
        <f>IF(ISBLANK(M102),"",M102*VLOOKUP($F102,Internal!$B$26:$C$32,2,FALSE))</f>
        <v/>
      </c>
      <c r="P102" s="40"/>
    </row>
    <row r="103" ht="14.25" spans="2:16">
      <c r="B103" s="38">
        <v>93</v>
      </c>
      <c r="C103" s="39" t="str">
        <f>IF(ISBLANK(D103),"",_xlfn.CONCAT("T",TEXT(B103,"0000"),"/",VLOOKUP(D103,Internal!$B$35:C$39,2,FALSE),IF(OR(D103="QA",D103="Revision"),_xlfn.CONCAT("/",H103),"")))</f>
        <v/>
      </c>
      <c r="D103" s="40"/>
      <c r="E103" s="41"/>
      <c r="F103" s="41"/>
      <c r="G103" s="40"/>
      <c r="H103" s="41"/>
      <c r="I103" s="45"/>
      <c r="J103" s="45"/>
      <c r="K103" s="46" t="str">
        <f ca="1" t="shared" si="1"/>
        <v/>
      </c>
      <c r="L103" s="47"/>
      <c r="M103" s="47"/>
      <c r="N103" s="46" t="str">
        <f>IF(ISBLANK(L103),"",L103*VLOOKUP($F103,Internal!$B$26:$C$32,2,FALSE))</f>
        <v/>
      </c>
      <c r="O103" s="46" t="str">
        <f>IF(ISBLANK(M103),"",M103*VLOOKUP($F103,Internal!$B$26:$C$32,2,FALSE))</f>
        <v/>
      </c>
      <c r="P103" s="40"/>
    </row>
    <row r="104" ht="14.25" spans="2:16">
      <c r="B104" s="38">
        <v>94</v>
      </c>
      <c r="C104" s="39" t="str">
        <f>IF(ISBLANK(D104),"",_xlfn.CONCAT("T",TEXT(B104,"0000"),"/",VLOOKUP(D104,Internal!$B$35:C$39,2,FALSE),IF(OR(D104="QA",D104="Revision"),_xlfn.CONCAT("/",H104),"")))</f>
        <v/>
      </c>
      <c r="D104" s="40"/>
      <c r="E104" s="41"/>
      <c r="F104" s="41"/>
      <c r="G104" s="40"/>
      <c r="H104" s="41"/>
      <c r="I104" s="45"/>
      <c r="J104" s="45"/>
      <c r="K104" s="46" t="str">
        <f ca="1" t="shared" si="1"/>
        <v/>
      </c>
      <c r="L104" s="47"/>
      <c r="M104" s="47"/>
      <c r="N104" s="46" t="str">
        <f>IF(ISBLANK(L104),"",L104*VLOOKUP($F104,Internal!$B$26:$C$32,2,FALSE))</f>
        <v/>
      </c>
      <c r="O104" s="46" t="str">
        <f>IF(ISBLANK(M104),"",M104*VLOOKUP($F104,Internal!$B$26:$C$32,2,FALSE))</f>
        <v/>
      </c>
      <c r="P104" s="40"/>
    </row>
    <row r="105" ht="14.25" spans="2:16">
      <c r="B105" s="38">
        <v>95</v>
      </c>
      <c r="C105" s="39" t="str">
        <f>IF(ISBLANK(D105),"",_xlfn.CONCAT("T",TEXT(B105,"0000"),"/",VLOOKUP(D105,Internal!$B$35:C$39,2,FALSE),IF(OR(D105="QA",D105="Revision"),_xlfn.CONCAT("/",H105),"")))</f>
        <v/>
      </c>
      <c r="D105" s="40"/>
      <c r="E105" s="41"/>
      <c r="F105" s="41"/>
      <c r="G105" s="40"/>
      <c r="H105" s="41"/>
      <c r="I105" s="45"/>
      <c r="J105" s="45"/>
      <c r="K105" s="46" t="str">
        <f ca="1" t="shared" si="1"/>
        <v/>
      </c>
      <c r="L105" s="47"/>
      <c r="M105" s="47"/>
      <c r="N105" s="46" t="str">
        <f>IF(ISBLANK(L105),"",L105*VLOOKUP($F105,Internal!$B$26:$C$32,2,FALSE))</f>
        <v/>
      </c>
      <c r="O105" s="46" t="str">
        <f>IF(ISBLANK(M105),"",M105*VLOOKUP($F105,Internal!$B$26:$C$32,2,FALSE))</f>
        <v/>
      </c>
      <c r="P105" s="40"/>
    </row>
    <row r="106" ht="14.25" spans="2:16">
      <c r="B106" s="38">
        <v>96</v>
      </c>
      <c r="C106" s="39" t="str">
        <f>IF(ISBLANK(D106),"",_xlfn.CONCAT("T",TEXT(B106,"0000"),"/",VLOOKUP(D106,Internal!$B$35:C$39,2,FALSE),IF(OR(D106="QA",D106="Revision"),_xlfn.CONCAT("/",H106),"")))</f>
        <v/>
      </c>
      <c r="D106" s="40"/>
      <c r="E106" s="41"/>
      <c r="F106" s="41"/>
      <c r="G106" s="40"/>
      <c r="H106" s="41"/>
      <c r="I106" s="45"/>
      <c r="J106" s="45"/>
      <c r="K106" s="46" t="str">
        <f ca="1" t="shared" si="1"/>
        <v/>
      </c>
      <c r="L106" s="47"/>
      <c r="M106" s="47"/>
      <c r="N106" s="46" t="str">
        <f>IF(ISBLANK(L106),"",L106*VLOOKUP($F106,Internal!$B$26:$C$32,2,FALSE))</f>
        <v/>
      </c>
      <c r="O106" s="46" t="str">
        <f>IF(ISBLANK(M106),"",M106*VLOOKUP($F106,Internal!$B$26:$C$32,2,FALSE))</f>
        <v/>
      </c>
      <c r="P106" s="40"/>
    </row>
    <row r="107" ht="14.25" spans="2:16">
      <c r="B107" s="38">
        <v>97</v>
      </c>
      <c r="C107" s="39" t="str">
        <f>IF(ISBLANK(D107),"",_xlfn.CONCAT("T",TEXT(B107,"0000"),"/",VLOOKUP(D107,Internal!$B$35:C$39,2,FALSE),IF(OR(D107="QA",D107="Revision"),_xlfn.CONCAT("/",H107),"")))</f>
        <v/>
      </c>
      <c r="D107" s="40"/>
      <c r="E107" s="41"/>
      <c r="F107" s="41"/>
      <c r="G107" s="40"/>
      <c r="H107" s="41"/>
      <c r="I107" s="45"/>
      <c r="J107" s="45"/>
      <c r="K107" s="46" t="str">
        <f ca="1" t="shared" si="1"/>
        <v/>
      </c>
      <c r="L107" s="47"/>
      <c r="M107" s="47"/>
      <c r="N107" s="46" t="str">
        <f>IF(ISBLANK(L107),"",L107*VLOOKUP($F107,Internal!$B$26:$C$32,2,FALSE))</f>
        <v/>
      </c>
      <c r="O107" s="46" t="str">
        <f>IF(ISBLANK(M107),"",M107*VLOOKUP($F107,Internal!$B$26:$C$32,2,FALSE))</f>
        <v/>
      </c>
      <c r="P107" s="40"/>
    </row>
    <row r="108" ht="14.25" spans="2:16">
      <c r="B108" s="38">
        <v>98</v>
      </c>
      <c r="C108" s="39" t="str">
        <f>IF(ISBLANK(D108),"",_xlfn.CONCAT("T",TEXT(B108,"0000"),"/",VLOOKUP(D108,Internal!$B$35:C$39,2,FALSE),IF(OR(D108="QA",D108="Revision"),_xlfn.CONCAT("/",H108),"")))</f>
        <v/>
      </c>
      <c r="D108" s="40"/>
      <c r="E108" s="41"/>
      <c r="F108" s="41"/>
      <c r="G108" s="40"/>
      <c r="H108" s="41"/>
      <c r="I108" s="45"/>
      <c r="J108" s="45"/>
      <c r="K108" s="46" t="str">
        <f ca="1" t="shared" si="1"/>
        <v/>
      </c>
      <c r="L108" s="47"/>
      <c r="M108" s="47"/>
      <c r="N108" s="46" t="str">
        <f>IF(ISBLANK(L108),"",L108*VLOOKUP($F108,Internal!$B$26:$C$32,2,FALSE))</f>
        <v/>
      </c>
      <c r="O108" s="46" t="str">
        <f>IF(ISBLANK(M108),"",M108*VLOOKUP($F108,Internal!$B$26:$C$32,2,FALSE))</f>
        <v/>
      </c>
      <c r="P108" s="40"/>
    </row>
    <row r="109" ht="14.25" spans="2:16">
      <c r="B109" s="38">
        <v>99</v>
      </c>
      <c r="C109" s="39" t="str">
        <f>IF(ISBLANK(D109),"",_xlfn.CONCAT("T",TEXT(B109,"0000"),"/",VLOOKUP(D109,Internal!$B$35:C$39,2,FALSE),IF(OR(D109="QA",D109="Revision"),_xlfn.CONCAT("/",H109),"")))</f>
        <v/>
      </c>
      <c r="D109" s="40"/>
      <c r="E109" s="41"/>
      <c r="F109" s="41"/>
      <c r="G109" s="40"/>
      <c r="H109" s="41"/>
      <c r="I109" s="45"/>
      <c r="J109" s="45"/>
      <c r="K109" s="46" t="str">
        <f ca="1" t="shared" si="1"/>
        <v/>
      </c>
      <c r="L109" s="47"/>
      <c r="M109" s="47"/>
      <c r="N109" s="46" t="str">
        <f>IF(ISBLANK(L109),"",L109*VLOOKUP($F109,Internal!$B$26:$C$32,2,FALSE))</f>
        <v/>
      </c>
      <c r="O109" s="46" t="str">
        <f>IF(ISBLANK(M109),"",M109*VLOOKUP($F109,Internal!$B$26:$C$32,2,FALSE))</f>
        <v/>
      </c>
      <c r="P109" s="40"/>
    </row>
    <row r="110" ht="14.25" spans="2:16">
      <c r="B110" s="38">
        <v>100</v>
      </c>
      <c r="C110" s="39" t="str">
        <f>IF(ISBLANK(D110),"",_xlfn.CONCAT("T",TEXT(B110,"0000"),"/",VLOOKUP(D110,Internal!$B$35:C$39,2,FALSE),IF(OR(D110="QA",D110="Revision"),_xlfn.CONCAT("/",H110),"")))</f>
        <v/>
      </c>
      <c r="D110" s="40"/>
      <c r="E110" s="41"/>
      <c r="F110" s="41"/>
      <c r="G110" s="40"/>
      <c r="H110" s="41"/>
      <c r="I110" s="45"/>
      <c r="J110" s="45"/>
      <c r="K110" s="46" t="str">
        <f ca="1" t="shared" si="1"/>
        <v/>
      </c>
      <c r="L110" s="47"/>
      <c r="M110" s="47"/>
      <c r="N110" s="46" t="str">
        <f>IF(ISBLANK(L110),"",L110*VLOOKUP($F110,Internal!$B$26:$C$32,2,FALSE))</f>
        <v/>
      </c>
      <c r="O110" s="46" t="str">
        <f>IF(ISBLANK(M110),"",M110*VLOOKUP($F110,Internal!$B$26:$C$32,2,FALSE))</f>
        <v/>
      </c>
      <c r="P110" s="40"/>
    </row>
  </sheetData>
  <mergeCells count="6">
    <mergeCell ref="C2:P2"/>
    <mergeCell ref="C4:P4"/>
    <mergeCell ref="I9:J9"/>
    <mergeCell ref="L9:M9"/>
    <mergeCell ref="N9:O9"/>
    <mergeCell ref="C6:C7"/>
  </mergeCells>
  <conditionalFormatting sqref="H11:H110">
    <cfRule type="expression" dxfId="0" priority="2">
      <formula>AND(H11&lt;&gt;"",COUNTIF($C$11:$C$110,H11)=0)</formula>
    </cfRule>
  </conditionalFormatting>
  <conditionalFormatting sqref="J11:J110">
    <cfRule type="expression" dxfId="1" priority="1">
      <formula>AND(I11&lt;&gt;"",J11&lt;&gt;"",I11&gt;J11)</formula>
    </cfRule>
  </conditionalFormatting>
  <dataValidations count="14">
    <dataValidation allowBlank="1" showInputMessage="1" showErrorMessage="1" promptTitle="Description" prompt="Provide a succint description of the task.  If not possible, the provide a link to a document where is is described." sqref="P10"/>
    <dataValidation allowBlank="1" showInputMessage="1" showErrorMessage="1" promptTitle="ORDER" prompt="Order numbers are internal data.  Do not change them.&#10;" sqref="B11:B110"/>
    <dataValidation allowBlank="1" showInputMessage="1" showErrorMessage="1" promptTitle="ID" prompt="The IDs are updated automatically.  Don't modify them manually" sqref="C11:C110"/>
    <dataValidation type="list" allowBlank="1" showInputMessage="1" showErrorMessage="1" promptTitle="Type" prompt="Indicate the type of task." sqref="D11:D110">
      <formula1>Internal!$B$35:$B$39</formula1>
    </dataValidation>
    <dataValidation type="list" allowBlank="1" showInputMessage="1" showErrorMessage="1" promptTitle="Assignee" prompt="Select the workmate the task is assigned to." sqref="E11:E110">
      <formula1>Internal!$B$9:$B$14</formula1>
    </dataValidation>
    <dataValidation type="list" allowBlank="1" showInputMessage="1" showErrorMessage="1" promptTitle="Role" prompt="Select a role from the select box.  Use &quot;other&quot; only in truly exceptional cases.  Consult your lecturer in such cases.&#10;" sqref="F11:F110">
      <formula1>Internal!$B$26:$B$32</formula1>
    </dataValidation>
    <dataValidation type="list" allowBlank="1" showInputMessage="1" showErrorMessage="1" promptTitle="Activity" prompt="Select the Activity to perfom.  Use &quot;Other&quot; only in truly exceptional cases." sqref="G11:G110">
      <formula1>INDIRECT(F11)</formula1>
    </dataValidation>
    <dataValidation type="list" allowBlank="1" showInputMessage="1" showErrorMessage="1" promptTitle="Parent" prompt="Select the parent task if necessary.  Usually, only &quot;Quality Assurance&quot; and &quot;Revision&quot; tasks have parents." sqref="H11:H110">
      <formula1>$C$11:$C$110</formula1>
    </dataValidation>
    <dataValidation type="date" operator="between" allowBlank="1" showInputMessage="1" showErrorMessage="1" promptTitle="Start moment" prompt="Indicate the moment when the assignee starts working on this task.  Use format yy/mm/dd hh:mm." sqref="I11:I110">
      <formula1>Internal!$C$22</formula1>
      <formula2>Internal!$C$23</formula2>
    </dataValidation>
    <dataValidation type="date" operator="between" allowBlank="1" showInputMessage="1" showErrorMessage="1" promptTitle="End moment" prompt="Indicate the moment when the assignee finishes working on this task.  Use format yy/mm/dd hh:mm." sqref="J11:J110">
      <formula1>Internal!$C$22</formula1>
      <formula2>Internal!$C$23</formula2>
    </dataValidation>
    <dataValidation allowBlank="1" showInputMessage="1" showErrorMessage="1" promptTitle="Description" prompt="If actually necessary, then write a succint description and/or include a link to a document that provides further information." sqref="K11:K110 P11:P110"/>
    <dataValidation type="decimal" operator="between" allowBlank="1" showInputMessage="1" showErrorMessage="1" promptTitle="Expected workload" prompt="Enter the expected workload in hours or fractions." sqref="L11:L110">
      <formula1>0</formula1>
      <formula2>1024</formula2>
    </dataValidation>
    <dataValidation allowBlank="1" showInputMessage="1" showErrorMessage="1" promptTitle="Actual workload" prompt="Enter the actual workload in hours or fractions.&#10;" sqref="M11:M110"/>
    <dataValidation allowBlank="1" showInputMessage="1" showErrorMessage="1" promptTitle="Costs" prompt="The costs are updated automatically.  Don't modify them manually" sqref="N11:O110"/>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39"/>
  <sheetViews>
    <sheetView workbookViewId="0">
      <selection activeCell="A1" sqref="A1"/>
    </sheetView>
  </sheetViews>
  <sheetFormatPr defaultColWidth="9" defaultRowHeight="13.5"/>
  <cols>
    <col min="2" max="10" width="22" customWidth="1"/>
  </cols>
  <sheetData>
    <row r="2" spans="2:10">
      <c r="B2" s="1" t="s">
        <v>123</v>
      </c>
      <c r="C2" s="1"/>
      <c r="D2" s="1"/>
      <c r="E2" s="1"/>
      <c r="F2" s="1"/>
      <c r="G2" s="1"/>
      <c r="H2" s="1"/>
      <c r="I2" s="1"/>
      <c r="J2" s="1"/>
    </row>
    <row r="4" spans="2:10">
      <c r="B4" s="2" t="s">
        <v>124</v>
      </c>
      <c r="C4" s="2"/>
      <c r="D4" s="2"/>
      <c r="E4" s="2"/>
      <c r="F4" s="2"/>
      <c r="G4" s="2"/>
      <c r="H4" s="2"/>
      <c r="I4" s="2"/>
      <c r="J4" s="2"/>
    </row>
    <row r="5" spans="2:10">
      <c r="B5" s="2"/>
      <c r="C5" s="2"/>
      <c r="D5" s="2"/>
      <c r="E5" s="2"/>
      <c r="F5" s="2"/>
      <c r="G5" s="2"/>
      <c r="H5" s="2"/>
      <c r="I5" s="2"/>
      <c r="J5" s="2"/>
    </row>
    <row r="6" spans="2:10">
      <c r="B6" s="2"/>
      <c r="C6" s="2"/>
      <c r="D6" s="2"/>
      <c r="E6" s="2"/>
      <c r="F6" s="2"/>
      <c r="G6" s="2"/>
      <c r="H6" s="2"/>
      <c r="I6" s="2"/>
      <c r="J6" s="2"/>
    </row>
    <row r="7" spans="2:10">
      <c r="B7" s="3"/>
      <c r="C7" s="3"/>
      <c r="D7" s="3"/>
      <c r="E7" s="3"/>
      <c r="F7" s="3"/>
      <c r="G7" s="3"/>
      <c r="H7" s="3"/>
      <c r="I7" s="3"/>
      <c r="J7" s="3"/>
    </row>
    <row r="8" spans="2:10">
      <c r="B8" s="4" t="s">
        <v>125</v>
      </c>
      <c r="C8" s="5"/>
      <c r="D8" s="5"/>
      <c r="E8" s="5"/>
      <c r="F8" s="5"/>
      <c r="G8" s="5"/>
      <c r="H8" s="5"/>
      <c r="I8" s="5"/>
      <c r="J8" s="5"/>
    </row>
    <row r="9" spans="2:10">
      <c r="B9" s="6" t="s">
        <v>31</v>
      </c>
      <c r="C9" s="5"/>
      <c r="D9" s="5"/>
      <c r="E9" s="5"/>
      <c r="F9" s="5"/>
      <c r="G9" s="5"/>
      <c r="H9" s="5"/>
      <c r="I9" s="5"/>
      <c r="J9" s="5"/>
    </row>
    <row r="10" spans="2:10">
      <c r="B10" s="6" t="s">
        <v>60</v>
      </c>
      <c r="C10" s="5"/>
      <c r="D10" s="5"/>
      <c r="E10" s="5"/>
      <c r="F10" s="5"/>
      <c r="G10" s="5"/>
      <c r="H10" s="5"/>
      <c r="I10" s="5"/>
      <c r="J10" s="5"/>
    </row>
    <row r="11" spans="2:10">
      <c r="B11" s="6" t="s">
        <v>66</v>
      </c>
      <c r="C11" s="5"/>
      <c r="D11" s="5"/>
      <c r="E11" s="5"/>
      <c r="F11" s="5"/>
      <c r="G11" s="5"/>
      <c r="H11" s="5"/>
      <c r="I11" s="5"/>
      <c r="J11" s="5"/>
    </row>
    <row r="12" spans="2:10">
      <c r="B12" s="6" t="s">
        <v>70</v>
      </c>
      <c r="C12" s="5"/>
      <c r="D12" s="5"/>
      <c r="E12" s="5"/>
      <c r="F12" s="5"/>
      <c r="G12" s="5"/>
      <c r="H12" s="5"/>
      <c r="I12" s="5"/>
      <c r="J12" s="5"/>
    </row>
    <row r="13" spans="2:10">
      <c r="B13" s="6" t="s">
        <v>126</v>
      </c>
      <c r="C13" s="5"/>
      <c r="D13" s="5"/>
      <c r="E13" s="5"/>
      <c r="F13" s="5"/>
      <c r="G13" s="5"/>
      <c r="H13" s="5"/>
      <c r="I13" s="5"/>
      <c r="J13" s="5"/>
    </row>
    <row r="14" spans="2:10">
      <c r="B14" s="7" t="s">
        <v>37</v>
      </c>
      <c r="C14" s="5"/>
      <c r="D14" s="5"/>
      <c r="E14" s="5"/>
      <c r="F14" s="5"/>
      <c r="G14" s="5"/>
      <c r="H14" s="5"/>
      <c r="I14" s="5"/>
      <c r="J14" s="5"/>
    </row>
    <row r="15" spans="2:10">
      <c r="B15" s="8"/>
      <c r="C15" s="5"/>
      <c r="D15" s="5"/>
      <c r="E15" s="5"/>
      <c r="F15" s="5"/>
      <c r="G15" s="5"/>
      <c r="H15" s="5"/>
      <c r="I15" s="5"/>
      <c r="J15" s="5"/>
    </row>
    <row r="16" spans="2:10">
      <c r="B16" s="9" t="s">
        <v>127</v>
      </c>
      <c r="C16" s="5"/>
      <c r="D16" s="5"/>
      <c r="E16" s="5"/>
      <c r="F16" s="5"/>
      <c r="G16" s="5"/>
      <c r="H16" s="5"/>
      <c r="I16" s="5"/>
      <c r="J16" s="5"/>
    </row>
    <row r="17" spans="2:10">
      <c r="B17" s="10" t="s">
        <v>128</v>
      </c>
      <c r="C17" s="5"/>
      <c r="D17" s="5"/>
      <c r="E17" s="5"/>
      <c r="F17" s="5"/>
      <c r="G17" s="5"/>
      <c r="H17" s="5"/>
      <c r="I17" s="5"/>
      <c r="J17" s="5"/>
    </row>
    <row r="18" spans="2:10">
      <c r="B18" s="10" t="s">
        <v>129</v>
      </c>
      <c r="C18" s="5"/>
      <c r="D18" s="5"/>
      <c r="E18" s="5"/>
      <c r="F18" s="5"/>
      <c r="G18" s="5"/>
      <c r="H18" s="5"/>
      <c r="I18" s="5"/>
      <c r="J18" s="5"/>
    </row>
    <row r="19" spans="2:10">
      <c r="B19" s="11" t="s">
        <v>130</v>
      </c>
      <c r="C19" s="5"/>
      <c r="D19" s="5"/>
      <c r="E19" s="5"/>
      <c r="F19" s="5"/>
      <c r="G19" s="5"/>
      <c r="H19" s="5"/>
      <c r="I19" s="5"/>
      <c r="J19" s="5"/>
    </row>
    <row r="20" spans="2:10">
      <c r="B20" s="8"/>
      <c r="C20" s="5"/>
      <c r="D20" s="5"/>
      <c r="E20" s="5"/>
      <c r="F20" s="5"/>
      <c r="G20" s="5"/>
      <c r="H20" s="5"/>
      <c r="I20" s="5"/>
      <c r="J20" s="5"/>
    </row>
    <row r="21" spans="2:10">
      <c r="B21" s="9" t="s">
        <v>131</v>
      </c>
      <c r="C21" s="5"/>
      <c r="D21" s="5"/>
      <c r="E21" s="5"/>
      <c r="F21" s="5"/>
      <c r="G21" s="5"/>
      <c r="H21" s="5"/>
      <c r="I21" s="5"/>
      <c r="J21" s="5"/>
    </row>
    <row r="22" spans="2:10">
      <c r="B22" s="12">
        <v>45658</v>
      </c>
      <c r="C22" s="5"/>
      <c r="D22" s="5"/>
      <c r="E22" s="5"/>
      <c r="F22" s="5"/>
      <c r="G22" s="5"/>
      <c r="H22" s="5"/>
      <c r="I22" s="5"/>
      <c r="J22" s="5"/>
    </row>
    <row r="23" spans="2:10">
      <c r="B23" s="13" t="s">
        <v>132</v>
      </c>
      <c r="C23" s="5"/>
      <c r="D23" s="5"/>
      <c r="E23" s="5"/>
      <c r="F23" s="5"/>
      <c r="G23" s="5"/>
      <c r="H23" s="5"/>
      <c r="I23" s="5"/>
      <c r="J23" s="5"/>
    </row>
    <row r="24" spans="2:10">
      <c r="B24" s="5"/>
      <c r="C24" s="5"/>
      <c r="D24" s="5"/>
      <c r="E24" s="5"/>
      <c r="F24" s="5"/>
      <c r="G24" s="5"/>
      <c r="H24" s="5"/>
      <c r="I24" s="5"/>
      <c r="J24" s="5"/>
    </row>
    <row r="25" spans="2:10">
      <c r="B25" s="14" t="s">
        <v>133</v>
      </c>
      <c r="C25" s="15" t="s">
        <v>134</v>
      </c>
      <c r="D25" s="15" t="s">
        <v>135</v>
      </c>
      <c r="E25" s="16"/>
      <c r="F25" s="16"/>
      <c r="G25" s="16"/>
      <c r="H25" s="16"/>
      <c r="I25" s="16"/>
      <c r="J25" s="28"/>
    </row>
    <row r="26" spans="2:10">
      <c r="B26" s="17" t="s">
        <v>38</v>
      </c>
      <c r="C26" s="18">
        <v>0</v>
      </c>
      <c r="D26" s="5" t="s">
        <v>39</v>
      </c>
      <c r="E26" s="5" t="s">
        <v>136</v>
      </c>
      <c r="F26" s="5" t="s">
        <v>137</v>
      </c>
      <c r="G26" s="5" t="s">
        <v>53</v>
      </c>
      <c r="H26" s="5"/>
      <c r="I26" s="5"/>
      <c r="J26" s="25"/>
    </row>
    <row r="27" spans="2:10">
      <c r="B27" s="17" t="s">
        <v>32</v>
      </c>
      <c r="C27" s="18">
        <v>50</v>
      </c>
      <c r="D27" s="5" t="s">
        <v>33</v>
      </c>
      <c r="E27" s="5" t="s">
        <v>138</v>
      </c>
      <c r="F27" s="5" t="s">
        <v>55</v>
      </c>
      <c r="G27" s="5" t="s">
        <v>64</v>
      </c>
      <c r="H27" s="5" t="s">
        <v>57</v>
      </c>
      <c r="I27" s="5" t="s">
        <v>53</v>
      </c>
      <c r="J27" s="25"/>
    </row>
    <row r="28" spans="2:10">
      <c r="B28" s="17" t="s">
        <v>139</v>
      </c>
      <c r="C28" s="18">
        <v>40</v>
      </c>
      <c r="D28" s="5" t="s">
        <v>140</v>
      </c>
      <c r="E28" s="5" t="s">
        <v>141</v>
      </c>
      <c r="F28" s="5" t="s">
        <v>142</v>
      </c>
      <c r="G28" s="5" t="s">
        <v>57</v>
      </c>
      <c r="H28" s="5" t="s">
        <v>53</v>
      </c>
      <c r="I28" s="5"/>
      <c r="J28" s="25"/>
    </row>
    <row r="29" spans="2:10">
      <c r="B29" s="17" t="s">
        <v>61</v>
      </c>
      <c r="C29" s="18">
        <v>25</v>
      </c>
      <c r="D29" s="5" t="s">
        <v>143</v>
      </c>
      <c r="E29" s="5" t="s">
        <v>62</v>
      </c>
      <c r="F29" s="5" t="s">
        <v>67</v>
      </c>
      <c r="G29" s="5" t="s">
        <v>144</v>
      </c>
      <c r="H29" s="5" t="s">
        <v>57</v>
      </c>
      <c r="I29" s="5" t="s">
        <v>53</v>
      </c>
      <c r="J29" s="25"/>
    </row>
    <row r="30" spans="2:10">
      <c r="B30" s="17" t="s">
        <v>75</v>
      </c>
      <c r="C30" s="18">
        <v>30</v>
      </c>
      <c r="D30" s="5" t="s">
        <v>145</v>
      </c>
      <c r="E30" s="5" t="s">
        <v>76</v>
      </c>
      <c r="F30" s="5" t="s">
        <v>146</v>
      </c>
      <c r="G30" s="5" t="s">
        <v>147</v>
      </c>
      <c r="H30" s="5" t="s">
        <v>57</v>
      </c>
      <c r="I30" s="5" t="s">
        <v>53</v>
      </c>
      <c r="J30" s="25"/>
    </row>
    <row r="31" spans="2:10">
      <c r="B31" s="19" t="s">
        <v>148</v>
      </c>
      <c r="C31" s="18">
        <v>30</v>
      </c>
      <c r="D31" s="5" t="s">
        <v>149</v>
      </c>
      <c r="E31" s="5" t="s">
        <v>150</v>
      </c>
      <c r="F31" s="5" t="s">
        <v>151</v>
      </c>
      <c r="G31" s="5" t="s">
        <v>152</v>
      </c>
      <c r="H31" s="5" t="s">
        <v>153</v>
      </c>
      <c r="I31" s="5" t="s">
        <v>57</v>
      </c>
      <c r="J31" s="25" t="s">
        <v>53</v>
      </c>
    </row>
    <row r="32" spans="2:10">
      <c r="B32" s="20" t="s">
        <v>36</v>
      </c>
      <c r="C32" s="21">
        <v>10</v>
      </c>
      <c r="D32" s="22" t="s">
        <v>53</v>
      </c>
      <c r="E32" s="22"/>
      <c r="F32" s="22"/>
      <c r="G32" s="22"/>
      <c r="H32" s="22"/>
      <c r="I32" s="22"/>
      <c r="J32" s="27"/>
    </row>
    <row r="33" spans="2:10">
      <c r="B33" s="5"/>
      <c r="C33" s="5"/>
      <c r="D33" s="5"/>
      <c r="E33" s="5"/>
      <c r="F33" s="5"/>
      <c r="G33" s="5"/>
      <c r="H33" s="5"/>
      <c r="I33" s="5"/>
      <c r="J33" s="5"/>
    </row>
    <row r="34" spans="2:10">
      <c r="B34" s="23" t="s">
        <v>154</v>
      </c>
      <c r="C34" s="24" t="s">
        <v>155</v>
      </c>
      <c r="D34" s="5"/>
      <c r="E34" s="5"/>
      <c r="F34" s="5"/>
      <c r="G34" s="5"/>
      <c r="H34" s="5"/>
      <c r="I34" s="5"/>
      <c r="J34" s="5"/>
    </row>
    <row r="35" spans="2:10">
      <c r="B35" s="19" t="s">
        <v>30</v>
      </c>
      <c r="C35" s="63" t="s">
        <v>156</v>
      </c>
      <c r="D35" s="5"/>
      <c r="E35" s="5"/>
      <c r="F35" s="5"/>
      <c r="G35" s="5"/>
      <c r="H35" s="5"/>
      <c r="I35" s="5"/>
      <c r="J35" s="5"/>
    </row>
    <row r="36" spans="2:10">
      <c r="B36" s="19" t="s">
        <v>59</v>
      </c>
      <c r="C36" s="25" t="s">
        <v>157</v>
      </c>
      <c r="D36" s="5"/>
      <c r="E36" s="5"/>
      <c r="F36" s="5"/>
      <c r="G36" s="5"/>
      <c r="H36" s="5"/>
      <c r="I36" s="5"/>
      <c r="J36" s="5"/>
    </row>
    <row r="37" spans="2:10">
      <c r="B37" s="19" t="s">
        <v>158</v>
      </c>
      <c r="C37" s="25" t="s">
        <v>158</v>
      </c>
      <c r="D37" s="5"/>
      <c r="E37" s="5"/>
      <c r="F37" s="5"/>
      <c r="G37" s="5"/>
      <c r="H37" s="5"/>
      <c r="I37" s="5"/>
      <c r="J37" s="5"/>
    </row>
    <row r="38" spans="2:10">
      <c r="B38" s="19" t="s">
        <v>74</v>
      </c>
      <c r="C38" s="25" t="s">
        <v>159</v>
      </c>
      <c r="D38" s="5"/>
      <c r="E38" s="5"/>
      <c r="F38" s="5"/>
      <c r="G38" s="5"/>
      <c r="H38" s="5"/>
      <c r="I38" s="5"/>
      <c r="J38" s="5"/>
    </row>
    <row r="39" spans="2:10">
      <c r="B39" s="26" t="s">
        <v>36</v>
      </c>
      <c r="C39" s="27" t="s">
        <v>160</v>
      </c>
      <c r="D39" s="5"/>
      <c r="E39" s="5"/>
      <c r="F39" s="5"/>
      <c r="G39" s="5"/>
      <c r="H39" s="5"/>
      <c r="I39" s="5"/>
      <c r="J39" s="5"/>
    </row>
  </sheetData>
  <mergeCells count="2">
    <mergeCell ref="B2:J2"/>
    <mergeCell ref="B4:J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Copyright</vt:lpstr>
      <vt:lpstr>Abstract</vt:lpstr>
      <vt:lpstr>D01</vt:lpstr>
      <vt:lpstr>D02</vt:lpstr>
      <vt:lpstr>D03</vt:lpstr>
      <vt:lpstr>Internal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usuario</cp:lastModifiedBy>
  <dcterms:created xsi:type="dcterms:W3CDTF">2024-04-15T09:22:00Z</dcterms:created>
  <dcterms:modified xsi:type="dcterms:W3CDTF">2026-02-06T16:26:10Z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2C4FE14515304C348C9E54193F3D68CF_12</vt:lpwstr>
  </property>
  <property fmtid="{D5CDD505-2E9C-101B-9397-08002B2CF9AE}" pid="3" name="KSOProductBuildVer">
    <vt:lpwstr>3082-12.2.0.23196</vt:lpwstr>
  </property>
</Properties>
</file>